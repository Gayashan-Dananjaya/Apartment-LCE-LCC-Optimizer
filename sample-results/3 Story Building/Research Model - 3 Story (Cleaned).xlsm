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3 Story Building\"/>
    </mc:Choice>
  </mc:AlternateContent>
  <xr:revisionPtr revIDLastSave="0" documentId="13_ncr:1_{1D13873B-FEE6-452D-A04B-7FCDC399F270}" xr6:coauthVersionLast="47" xr6:coauthVersionMax="47" xr10:uidLastSave="{00000000-0000-0000-0000-000000000000}"/>
  <bookViews>
    <workbookView xWindow="-108" yWindow="-108" windowWidth="23256" windowHeight="12576" tabRatio="694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Alternative_Materials" sheetId="6" r:id="rId7"/>
    <sheet name="City_Details" sheetId="2" r:id="rId8"/>
    <sheet name="Window" sheetId="3" r:id="rId9"/>
    <sheet name="Wall" sheetId="4" r:id="rId10"/>
    <sheet name="Roof" sheetId="5" r:id="rId11"/>
    <sheet name="AHP" sheetId="7" r:id="rId12"/>
    <sheet name="TOPSIS" sheetId="8" r:id="rId13"/>
    <sheet name="Orientation" sheetId="9" r:id="rId14"/>
  </sheets>
  <externalReferences>
    <externalReference r:id="rId1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" i="8" l="1"/>
  <c r="B19" i="8" l="1"/>
  <c r="C11" i="8"/>
  <c r="D11" i="8"/>
  <c r="B11" i="8"/>
  <c r="D20" i="8" l="1"/>
  <c r="C20" i="8"/>
  <c r="B20" i="8"/>
  <c r="D12" i="8"/>
  <c r="C12" i="8"/>
  <c r="B12" i="8"/>
  <c r="C4" i="8"/>
  <c r="D4" i="8"/>
  <c r="B4" i="8"/>
  <c r="H26" i="7"/>
  <c r="H25" i="7"/>
  <c r="H24" i="7"/>
  <c r="H23" i="7"/>
  <c r="H27" i="7" l="1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X55" i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X60" i="1" s="1"/>
  <c r="K24" i="4"/>
  <c r="H15" i="1" s="1"/>
  <c r="Y15" i="1" s="1"/>
  <c r="Y60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AK60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AB60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AI60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AG60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AN60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AE60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AL60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Z60" i="1" s="1"/>
  <c r="O24" i="4"/>
  <c r="L15" i="1" s="1"/>
  <c r="AC15" i="1" s="1"/>
  <c r="AC60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AJ60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AA60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AH60" i="1" s="1"/>
  <c r="N25" i="4"/>
  <c r="K16" i="1" s="1"/>
  <c r="AB16" i="1" s="1"/>
  <c r="R24" i="4"/>
  <c r="O15" i="1" s="1"/>
  <c r="AF15" i="1" s="1"/>
  <c r="AF60" i="1" s="1"/>
  <c r="U28" i="4"/>
  <c r="R19" i="1" s="1"/>
  <c r="AI19" i="1" s="1"/>
  <c r="Y24" i="4"/>
  <c r="V15" i="1" s="1"/>
  <c r="AM15" i="1" s="1"/>
  <c r="AM60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AD60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L14" i="7" l="1"/>
  <c r="C17" i="7" s="1"/>
  <c r="J6" i="7"/>
  <c r="K3" i="7" s="1"/>
  <c r="L3" i="7" s="1"/>
  <c r="E53" i="1"/>
  <c r="E1" i="2"/>
  <c r="L4" i="7" l="1"/>
  <c r="C7" i="7" s="1"/>
  <c r="E44" i="1"/>
  <c r="Y53" i="1"/>
  <c r="Y62" i="1" s="1"/>
  <c r="Y64" i="1" s="1"/>
  <c r="AC53" i="1"/>
  <c r="AC62" i="1" s="1"/>
  <c r="AC64" i="1" s="1"/>
  <c r="AG53" i="1"/>
  <c r="AG62" i="1" s="1"/>
  <c r="AG64" i="1" s="1"/>
  <c r="AK53" i="1"/>
  <c r="AK62" i="1" s="1"/>
  <c r="AK64" i="1" s="1"/>
  <c r="X53" i="1"/>
  <c r="X62" i="1" s="1"/>
  <c r="X64" i="1" s="1"/>
  <c r="Z53" i="1"/>
  <c r="Z62" i="1" s="1"/>
  <c r="Z64" i="1" s="1"/>
  <c r="AD53" i="1"/>
  <c r="AD62" i="1" s="1"/>
  <c r="AD64" i="1" s="1"/>
  <c r="AH53" i="1"/>
  <c r="AH62" i="1" s="1"/>
  <c r="AH64" i="1" s="1"/>
  <c r="AL53" i="1"/>
  <c r="AL62" i="1" s="1"/>
  <c r="AL64" i="1" s="1"/>
  <c r="AE53" i="1"/>
  <c r="AE62" i="1" s="1"/>
  <c r="AE64" i="1" s="1"/>
  <c r="AI53" i="1"/>
  <c r="AI62" i="1" s="1"/>
  <c r="AI64" i="1" s="1"/>
  <c r="AB53" i="1"/>
  <c r="AB62" i="1" s="1"/>
  <c r="AB64" i="1" s="1"/>
  <c r="AF53" i="1"/>
  <c r="AF62" i="1" s="1"/>
  <c r="AF64" i="1" s="1"/>
  <c r="AJ53" i="1"/>
  <c r="AJ62" i="1" s="1"/>
  <c r="AJ64" i="1" s="1"/>
  <c r="AN53" i="1"/>
  <c r="AN62" i="1" s="1"/>
  <c r="AN64" i="1" s="1"/>
  <c r="AA53" i="1"/>
  <c r="AA62" i="1" s="1"/>
  <c r="AA64" i="1" s="1"/>
  <c r="AM53" i="1"/>
  <c r="AM62" i="1" s="1"/>
  <c r="AM64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K48" i="1"/>
  <c r="S48" i="1"/>
  <c r="O48" i="1"/>
  <c r="H48" i="1"/>
  <c r="J48" i="1"/>
  <c r="P48" i="1"/>
  <c r="Q48" i="1"/>
  <c r="T48" i="1"/>
  <c r="V48" i="1"/>
  <c r="U48" i="1"/>
  <c r="I48" i="1"/>
  <c r="M48" i="1"/>
  <c r="W48" i="1"/>
  <c r="R48" i="1"/>
  <c r="N48" i="1"/>
  <c r="G48" i="1"/>
  <c r="L48" i="1"/>
  <c r="AB44" i="1" l="1"/>
  <c r="AF44" i="1"/>
  <c r="AJ44" i="1"/>
  <c r="AN44" i="1"/>
  <c r="AA44" i="1"/>
  <c r="AI44" i="1"/>
  <c r="Y44" i="1"/>
  <c r="AC44" i="1"/>
  <c r="AG44" i="1"/>
  <c r="AK44" i="1"/>
  <c r="X44" i="1"/>
  <c r="AE44" i="1"/>
  <c r="AM44" i="1"/>
  <c r="Z44" i="1"/>
  <c r="AD44" i="1"/>
  <c r="AH44" i="1"/>
  <c r="AL44" i="1"/>
  <c r="Y48" i="1"/>
  <c r="Y66" i="1" s="1"/>
  <c r="Y70" i="1" s="1"/>
  <c r="Y72" i="1" s="1"/>
  <c r="F48" i="1"/>
  <c r="AG48" i="1" s="1"/>
  <c r="AG66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Z48" i="1" l="1"/>
  <c r="Z66" i="1" s="1"/>
  <c r="AG70" i="1"/>
  <c r="AG72" i="1" s="1"/>
  <c r="AN48" i="1"/>
  <c r="AN66" i="1" s="1"/>
  <c r="AN70" i="1" s="1"/>
  <c r="AN72" i="1" s="1"/>
  <c r="AA48" i="1"/>
  <c r="AA66" i="1" s="1"/>
  <c r="AA70" i="1" s="1"/>
  <c r="AA72" i="1" s="1"/>
  <c r="AA74" i="1" s="1"/>
  <c r="AF48" i="1"/>
  <c r="AF66" i="1" s="1"/>
  <c r="AF70" i="1" s="1"/>
  <c r="AF72" i="1" s="1"/>
  <c r="AF76" i="1" s="1"/>
  <c r="AD48" i="1"/>
  <c r="AD66" i="1" s="1"/>
  <c r="AD70" i="1" s="1"/>
  <c r="AD72" i="1" s="1"/>
  <c r="AD76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Z70" i="1"/>
  <c r="Z72" i="1" s="1"/>
  <c r="Z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AG76" i="1"/>
  <c r="AG74" i="1"/>
  <c r="Y76" i="1"/>
  <c r="Y74" i="1"/>
  <c r="AN76" i="1"/>
  <c r="AN74" i="1"/>
  <c r="AB76" i="1"/>
  <c r="AI74" i="1" l="1"/>
  <c r="AJ74" i="1"/>
  <c r="AA76" i="1"/>
  <c r="AD74" i="1"/>
  <c r="AC74" i="1"/>
  <c r="AF74" i="1"/>
  <c r="X74" i="1"/>
  <c r="AK74" i="1"/>
  <c r="AE76" i="1"/>
  <c r="Z74" i="1"/>
  <c r="AH74" i="1"/>
  <c r="AM76" i="1"/>
  <c r="AL74" i="1"/>
  <c r="C79" i="1"/>
  <c r="C80" i="1" s="1"/>
  <c r="C81" i="1"/>
</calcChain>
</file>

<file path=xl/sharedStrings.xml><?xml version="1.0" encoding="utf-8"?>
<sst xmlns="http://schemas.openxmlformats.org/spreadsheetml/2006/main" count="836" uniqueCount="282">
  <si>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</si>
  <si>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</si>
  <si>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</si>
  <si>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</si>
  <si>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</si>
  <si>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</si>
  <si>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</si>
  <si>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</si>
  <si>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</si>
  <si>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</si>
  <si>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</si>
  <si>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</si>
  <si>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</si>
  <si>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</si>
  <si>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</si>
  <si>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</si>
  <si>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</si>
  <si>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</si>
  <si>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</si>
  <si>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</si>
  <si>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</si>
  <si>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</si>
  <si>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</si>
  <si>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</si>
  <si>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</si>
  <si>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</si>
  <si>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</si>
  <si>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</si>
  <si>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</si>
  <si>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</si>
  <si>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</si>
  <si>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</si>
  <si>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</si>
  <si>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</si>
  <si>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</si>
  <si>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</si>
  <si>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</si>
  <si>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</si>
  <si>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</si>
  <si>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</si>
  <si>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</si>
  <si>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</si>
  <si>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</si>
  <si>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</si>
  <si>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</si>
  <si>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</si>
  <si>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</si>
  <si>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</si>
  <si>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</si>
  <si>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</si>
  <si>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</si>
  <si>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</si>
  <si>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</si>
  <si>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</si>
  <si>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</si>
  <si>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</si>
  <si>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</si>
  <si>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</si>
  <si>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</si>
  <si>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</si>
  <si>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</si>
  <si>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</si>
  <si>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</si>
  <si>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</si>
  <si>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</si>
  <si>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</si>
  <si>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</si>
  <si>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</si>
  <si>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</si>
  <si>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</si>
  <si>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</si>
  <si>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</si>
  <si>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</si>
  <si>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</si>
  <si>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</si>
  <si>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</si>
  <si>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</si>
  <si>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</si>
  <si>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</si>
  <si>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</si>
  <si>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</si>
  <si>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</si>
  <si>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</si>
  <si>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</si>
  <si>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</si>
  <si>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</si>
  <si>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</si>
  <si>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</si>
  <si>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</si>
  <si>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</si>
  <si>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</si>
  <si>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</si>
  <si>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</si>
  <si>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</si>
  <si>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</si>
  <si>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</si>
  <si>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</si>
  <si>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</si>
  <si>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</si>
  <si>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</si>
  <si>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</si>
  <si>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</si>
  <si>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</si>
  <si>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</si>
  <si>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</si>
  <si>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</si>
  <si>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</si>
  <si>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</si>
  <si>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</si>
  <si>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</si>
  <si>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</si>
  <si>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</si>
  <si>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</si>
  <si>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</si>
  <si>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</si>
  <si>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</si>
  <si>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</si>
  <si>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</si>
  <si>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</si>
  <si>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</si>
  <si>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</si>
  <si>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</si>
  <si>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</si>
  <si>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</si>
  <si>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</si>
  <si>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</si>
  <si>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</si>
  <si>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</si>
  <si>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</si>
  <si>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</si>
  <si>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</si>
  <si>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</si>
  <si>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</si>
  <si>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</si>
  <si>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</si>
  <si>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</si>
  <si>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</si>
  <si>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</si>
  <si>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</si>
  <si>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</si>
  <si>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</si>
  <si>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</si>
  <si>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</si>
  <si>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Wall 5</t>
  </si>
  <si>
    <t>D</t>
  </si>
  <si>
    <t>F</t>
  </si>
  <si>
    <t>G</t>
  </si>
  <si>
    <t>Window Name</t>
  </si>
  <si>
    <t>Shading Coefficient</t>
  </si>
  <si>
    <t>Window 1</t>
  </si>
  <si>
    <t>Window 2</t>
  </si>
  <si>
    <t>Window 3</t>
  </si>
  <si>
    <t>Door Name</t>
  </si>
  <si>
    <t>Floor Name</t>
  </si>
  <si>
    <t>Door 1</t>
  </si>
  <si>
    <t>Door 2</t>
  </si>
  <si>
    <t>Floor 1</t>
  </si>
  <si>
    <t>Floor 2</t>
  </si>
  <si>
    <t>Roof Name</t>
  </si>
  <si>
    <t>4In L.W. Concrete</t>
  </si>
  <si>
    <t>2In H.W. Concrete with 1In. Insulation</t>
  </si>
  <si>
    <t>6In L.W. Concrete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</si>
  <si>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</si>
  <si>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</si>
  <si>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</si>
  <si>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</si>
  <si>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</si>
  <si>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</si>
  <si>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</si>
  <si>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</si>
  <si>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</si>
  <si>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</si>
  <si>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</si>
  <si>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</si>
  <si>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</si>
  <si>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</si>
  <si>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</si>
  <si>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</si>
  <si>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</si>
  <si>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</si>
  <si>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</si>
  <si>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</si>
  <si>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</si>
  <si>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</si>
  <si>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</si>
  <si>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</si>
  <si>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</si>
  <si>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</si>
  <si>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</si>
  <si>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</si>
  <si>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</si>
  <si>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</si>
  <si>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</si>
  <si>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</si>
  <si>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</si>
  <si>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</si>
  <si>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</si>
  <si>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</si>
  <si>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</si>
  <si>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</si>
  <si>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</si>
  <si>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</si>
  <si>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</si>
  <si>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</si>
  <si>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</si>
  <si>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</si>
  <si>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</si>
  <si>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</si>
  <si>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</si>
  <si>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</si>
  <si>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</si>
  <si>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</si>
  <si>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</si>
  <si>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</si>
  <si>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</si>
  <si>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</si>
  <si>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</si>
  <si>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</si>
  <si>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</si>
  <si>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</si>
  <si>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</si>
  <si>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</si>
  <si>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</si>
  <si>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</si>
  <si>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</si>
  <si>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</si>
  <si>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</si>
  <si>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</si>
  <si>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</si>
  <si>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</si>
  <si>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</si>
  <si>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</si>
  <si>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</si>
  <si>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</si>
  <si>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</si>
  <si>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</si>
  <si>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</si>
  <si>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</si>
  <si>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</si>
  <si>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</si>
  <si>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</si>
  <si>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</si>
  <si>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</si>
  <si>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</si>
  <si>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</si>
  <si>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</si>
  <si>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</si>
  <si>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</si>
  <si>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</si>
  <si>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</si>
  <si>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</si>
  <si>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</si>
  <si>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</si>
  <si>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</si>
  <si>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</si>
  <si>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</si>
  <si>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</si>
  <si>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</si>
  <si>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</si>
  <si>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</si>
  <si>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</si>
  <si>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</si>
  <si>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</si>
  <si>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</si>
  <si>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</si>
  <si>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</si>
  <si>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</si>
  <si>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</si>
  <si>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</si>
  <si>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</si>
  <si>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</si>
  <si>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</si>
  <si>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</si>
  <si>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</si>
  <si>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</si>
  <si>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First Floor</t>
  </si>
  <si>
    <t>Second Floor</t>
  </si>
  <si>
    <t>Roof Top</t>
  </si>
  <si>
    <t>Vector(X = 0.000, Y = 1.000, Z = 0.000, Length = 1.000)</t>
  </si>
  <si>
    <t>Vector(X = -1.000, Y = 0.000, Z = 0.000, Length = 1.000)</t>
  </si>
  <si>
    <t>Vector(X = 1.000, Y = 0.000, Z = 0.000, Length = 1.000)</t>
  </si>
  <si>
    <t>Vector(X = 0.000, Y = -1.000, Z = 0.000, Length = 1.000)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</si>
</sst>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</font>
    <font>
      <sz val="10"/>
      <name val="Arial"/>
    </font>
    <font>
      <sz val="10"/>
      <color theme="1"/>
      <name val="Arial"/>
    </font>
    <font>
      <sz val="11"/>
      <color rgb="FF000000"/>
      <name val="Inconsolata"/>
    </font>
    <font>
      <sz val="8"/>
      <color theme="1"/>
      <name val="Arial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60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0" fillId="14" borderId="53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0" fillId="0" borderId="8" xfId="0" applyBorder="1"/>
    <xf numFmtId="0" fontId="10" fillId="12" borderId="42" xfId="0" applyFont="1" applyFill="1" applyBorder="1" applyAlignment="1">
      <alignment horizontal="center" vertical="center"/>
    </xf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</cellXfs>
  <cellStyles count="1">
    <cellStyle name="Normal" xfId="0" builtinId="0"/>
  </cellStyles>
  <dxfs count="69"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68" dataDxfId="67">
  <autoFilter ref="A1:G6" xr:uid="{50ED96DB-99F1-42CD-86D4-EE71F9A9CF25}"/>
  <tableColumns count="7">
    <tableColumn id="1" xr3:uid="{AD780256-5B82-4B92-85A3-B86001CEFE41}" name="Wall Name" dataDxfId="66"/>
    <tableColumn id="2" xr3:uid="{80A3B262-992B-445C-B675-4EDBF736CA12}" name="U Value (Btu/hr.ft2.F)" dataDxfId="65"/>
    <tableColumn id="3" xr3:uid="{0777C1D9-F568-4A34-BA33-5DE1E16CA062}" name="Group" dataDxfId="64"/>
    <tableColumn id="4" xr3:uid="{71314989-3D45-4E8A-984E-F92C317C554E}" name="Thickness (m)" dataDxfId="63"/>
    <tableColumn id="5" xr3:uid="{24C29129-8819-4B60-B27B-7426F4AED033}" name="Embodied Energy (MJ/m²)" dataDxfId="62"/>
    <tableColumn id="6" xr3:uid="{31A8D8FC-19D4-4B19-BF0B-64F20C139FB4}" name="Embodied Carbon (kg/m²)" dataDxfId="61"/>
    <tableColumn id="7" xr3:uid="{249F77A5-1F79-494A-8E56-AD8BF3A5AD9F}" name="Rate per sq.m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59" dataDxfId="58">
  <autoFilter ref="J1:O4" xr:uid="{2C7F4F70-7C10-4421-AA58-68A6A47268B8}"/>
  <tableColumns count="6">
    <tableColumn id="1" xr3:uid="{F83A1887-CC16-4554-8C5B-D12B49066BBA}" name="Window Name" dataDxfId="57"/>
    <tableColumn id="2" xr3:uid="{74847D39-5331-44E4-A17E-C46472F4B9EE}" name="Shading Coefficient" dataDxfId="56"/>
    <tableColumn id="3" xr3:uid="{2497E3DC-B117-48C5-9EC9-17EB7C8F07C2}" name="U Value (W/m²K)" dataDxfId="55"/>
    <tableColumn id="4" xr3:uid="{85F49B4D-80D1-472A-8E26-B1A9895A4E4E}" name="Embodied Energy (MJ/m²)" dataDxfId="54"/>
    <tableColumn id="5" xr3:uid="{D1209D4F-9BBF-4927-9B04-78324845F6D1}" name="Embodied Carbon (kg/m²)" dataDxfId="53"/>
    <tableColumn id="6" xr3:uid="{F1CDDBA2-D7A0-456A-9B68-075C6A7451EE}" name="Rate per sq.m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51" dataDxfId="50">
  <autoFilter ref="R1:V3" xr:uid="{1A17E22C-99D8-4B19-ABF0-E237628135AB}"/>
  <tableColumns count="5">
    <tableColumn id="1" xr3:uid="{8ECA37D9-53C2-480B-B429-2EF2A6B75F23}" name="Door Name" dataDxfId="49"/>
    <tableColumn id="2" xr3:uid="{7DB4BEEF-B90D-478D-A3F7-F429D74FE9C4}" name="U Value (W/m²K)" dataDxfId="48"/>
    <tableColumn id="3" xr3:uid="{D08639D6-7B2B-47BA-B693-9C974A2F0614}" name="Embodied Energy (MJ/m²)" dataDxfId="47"/>
    <tableColumn id="4" xr3:uid="{FA5E2E77-4FF3-4CCF-A4A5-684FA4F90C96}" name="Embodied Carbon (kg/m²)" dataDxfId="46"/>
    <tableColumn id="5" xr3:uid="{F3285D20-9719-4101-808B-81D20248102E}" name="Rate per sq.m" dataDxfId="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44" dataDxfId="43">
  <autoFilter ref="Y1:AC3" xr:uid="{E9C28792-C062-4C79-B719-5CBD9BABAC4B}"/>
  <tableColumns count="5">
    <tableColumn id="1" xr3:uid="{E857D718-22B2-4150-B52B-EB3C1A4EFBE5}" name="Floor Name" dataDxfId="42"/>
    <tableColumn id="2" xr3:uid="{76F78B10-E33D-447D-9F45-596D82C0B7CC}" name="U Value (W/m²K)" dataDxfId="41"/>
    <tableColumn id="3" xr3:uid="{22DFD906-E2F1-4777-9217-685E00F62EDD}" name="Embodied Energy (MJ/m²)" dataDxfId="40"/>
    <tableColumn id="4" xr3:uid="{5CC11739-9F21-4A03-B4E9-882455B828FA}" name="Embodied Carbon (kg/m²)" dataDxfId="39"/>
    <tableColumn id="5" xr3:uid="{E99D7D17-B86F-4C0D-A2D8-5C83FD9552DD}" name="Rate per sq.m" dataDxfId="3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37" dataDxfId="36">
  <autoFilter ref="AF1:BA4" xr:uid="{AD357D87-2685-4E55-877A-C4DB733389B1}"/>
  <tableColumns count="22">
    <tableColumn id="1" xr3:uid="{73CFB9E6-4CC2-42AB-A565-D56AFFB7FCBD}" name="Roof Name" dataDxfId="35"/>
    <tableColumn id="2" xr3:uid="{EC274524-6246-4F5E-A893-ABC724DD7CEF}" name="U Value (Btu/hr.ft2.F)" dataDxfId="34"/>
    <tableColumn id="3" xr3:uid="{23CCB4E8-01FC-44AC-AC45-93470D52F4DB}" name="Embodied Energy (MJ/m²)" dataDxfId="33"/>
    <tableColumn id="4" xr3:uid="{FCA185B0-43C0-406E-A848-595FBA66CCF6}" name="Embodied Carbon (kg/m²)" dataDxfId="32"/>
    <tableColumn id="5" xr3:uid="{EA4149B3-2F46-40F3-B44B-16D85BD6ACE1}" name="Rate per sq.m" dataDxfId="31"/>
    <tableColumn id="6" xr3:uid="{3DC8C5FA-3F26-46B7-A4F6-1A5E1D0BAF14}" name="6" dataDxfId="30"/>
    <tableColumn id="7" xr3:uid="{6523E14F-BE92-4AC6-A093-7CF13E166A46}" name="7" dataDxfId="29"/>
    <tableColumn id="8" xr3:uid="{71DE67B4-DE3A-48DC-89F6-67D0DB2D3B61}" name="8" dataDxfId="28"/>
    <tableColumn id="9" xr3:uid="{CC372C71-DD57-4F8A-AB09-CA14FC8078FD}" name="9" dataDxfId="27"/>
    <tableColumn id="10" xr3:uid="{BDAE2E6A-663D-49E5-AA8D-113D7C79E1B4}" name="10" dataDxfId="26"/>
    <tableColumn id="11" xr3:uid="{79115174-3C12-494A-A022-4088523871EC}" name="11" dataDxfId="25"/>
    <tableColumn id="12" xr3:uid="{7AE0EFA1-715E-4AB7-B6AE-61CD1F637770}" name="12" dataDxfId="24"/>
    <tableColumn id="13" xr3:uid="{6AE213F2-19D0-4277-8DC3-9E9FED8D1E58}" name="13" dataDxfId="23"/>
    <tableColumn id="14" xr3:uid="{75E00F48-9B5A-4339-A6F0-9116709D5011}" name="14" dataDxfId="22"/>
    <tableColumn id="15" xr3:uid="{0086CF90-AAD3-4961-A5B3-69C39D2F7EC7}" name="15" dataDxfId="21"/>
    <tableColumn id="16" xr3:uid="{924D4251-E931-48FA-8FAC-1E4439CC1A4A}" name="16" dataDxfId="20"/>
    <tableColumn id="17" xr3:uid="{A2AB3A30-58D8-4233-AD79-F3FDF8332DFA}" name="17" dataDxfId="19"/>
    <tableColumn id="18" xr3:uid="{2252D276-F4C8-40E7-94F5-59B7CBAEBCF4}" name="18" dataDxfId="18"/>
    <tableColumn id="19" xr3:uid="{2E265E20-43D5-4B37-92E5-E0A1BB3B14EF}" name="19" dataDxfId="17"/>
    <tableColumn id="20" xr3:uid="{0352ACDD-7664-404F-9BCE-47AA6434656C}" name="20" dataDxfId="16"/>
    <tableColumn id="21" xr3:uid="{C7D80C88-429F-4733-9DEE-70ED4E4A1404}" name="21" dataDxfId="15"/>
    <tableColumn id="22" xr3:uid="{2EF337F2-FFF5-4667-A4BA-7C7FF2A1055C}" name="22" dataDxfId="1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13" dataDxfId="12">
  <autoFilter ref="BD1:BF4" xr:uid="{2BC71441-4E0F-40FE-8518-9AE0B49041C3}"/>
  <tableColumns count="3">
    <tableColumn id="1" xr3:uid="{4A63BA5F-05EC-47E6-93FA-76A4C6136368}" name="AC System Name" dataDxfId="11"/>
    <tableColumn id="2" xr3:uid="{4A07A6D5-AFCF-400B-B482-239A8E784B7F}" name="Capacity (kW)" dataDxfId="10"/>
    <tableColumn id="3" xr3:uid="{A5BB0BE8-53A5-4396-ABDF-30FC3DA7A249}" name="Cost (Rs.)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C7A9-8811-43D2-BD9E-6FDD504E310F}">
  <sheetPr codeName="Sheet10"/>
  <dimension ref="A1:C5"/>
  <sheetViews>
    <sheetView tabSelected="1" workbookViewId="0"/>
  </sheetViews>
  <sheetFormatPr defaultRowHeight="14.4" x14ac:dyDescent="0.3"/>
  <sheetData>
    <row r="1" spans="1:3" x14ac:dyDescent="0.3">
      <c r="A1" t="s">
        <v>268</v>
      </c>
      <c r="B1" t="s">
        <v>269</v>
      </c>
      <c r="C1" t="s">
        <v>270</v>
      </c>
    </row>
    <row r="3" spans="1:3" x14ac:dyDescent="0.3">
      <c r="A3">
        <v>1</v>
      </c>
      <c r="B3">
        <v>1.52</v>
      </c>
      <c r="C3">
        <v>2.13</v>
      </c>
    </row>
    <row r="4" spans="1:3" x14ac:dyDescent="0.3">
      <c r="A4">
        <v>1</v>
      </c>
      <c r="B4">
        <v>0.86</v>
      </c>
      <c r="C4">
        <v>2.0299999999999998</v>
      </c>
    </row>
    <row r="5" spans="1:3" x14ac:dyDescent="0.3">
      <c r="A5">
        <v>1</v>
      </c>
      <c r="B5">
        <v>0.91</v>
      </c>
      <c r="C5">
        <v>2.13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1C6CE-02CE-4501-AE50-2B6033EC94AD}">
  <sheetPr codeName="Sheet11"/>
  <dimension ref="A1:B6"/>
  <sheetViews>
    <sheetView workbookViewId="0"/>
  </sheetViews>
  <sheetFormatPr defaultRowHeight="14.4" x14ac:dyDescent="0.3"/>
  <sheetData>
    <row r="1" spans="1:2" x14ac:dyDescent="0.3">
      <c r="A1" t="s">
        <v>272</v>
      </c>
      <c r="B1" t="s">
        <v>273</v>
      </c>
    </row>
    <row r="3" spans="1:2" x14ac:dyDescent="0.3">
      <c r="A3" t="s">
        <v>274</v>
      </c>
      <c r="B3">
        <v>0</v>
      </c>
    </row>
    <row r="4" spans="1:2" x14ac:dyDescent="0.3">
      <c r="A4" t="s">
        <v>275</v>
      </c>
      <c r="B4">
        <v>3.6</v>
      </c>
    </row>
    <row r="5" spans="1:2" x14ac:dyDescent="0.3">
      <c r="A5" t="s">
        <v>276</v>
      </c>
      <c r="B5">
        <v>7.2</v>
      </c>
    </row>
    <row r="6" spans="1:2" x14ac:dyDescent="0.3">
      <c r="A6" t="s">
        <v>277</v>
      </c>
      <c r="B6">
        <v>10.8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61073-6851-40F3-BFC3-EBD5D1C37798}">
  <sheetPr codeName="Sheet12"/>
  <dimension ref="A1:B7"/>
  <sheetViews>
    <sheetView workbookViewId="0"/>
  </sheetViews>
  <sheetFormatPr defaultRowHeight="14.4" x14ac:dyDescent="0.3"/>
  <sheetData>
    <row r="1" spans="1:2" x14ac:dyDescent="0.3">
      <c r="A1" t="s">
        <v>268</v>
      </c>
      <c r="B1" t="s">
        <v>271</v>
      </c>
    </row>
    <row r="3" spans="1:2" x14ac:dyDescent="0.3">
      <c r="A3">
        <v>1</v>
      </c>
      <c r="B3">
        <v>133.43</v>
      </c>
    </row>
    <row r="4" spans="1:2" x14ac:dyDescent="0.3">
      <c r="A4">
        <v>1</v>
      </c>
      <c r="B4">
        <v>127.84</v>
      </c>
    </row>
    <row r="5" spans="1:2" x14ac:dyDescent="0.3">
      <c r="A5">
        <v>1</v>
      </c>
      <c r="B5">
        <v>102.8</v>
      </c>
    </row>
    <row r="6" spans="1:2" x14ac:dyDescent="0.3">
      <c r="A6">
        <v>1</v>
      </c>
      <c r="B6">
        <v>3.07</v>
      </c>
    </row>
    <row r="7" spans="1:2" x14ac:dyDescent="0.3">
      <c r="A7">
        <v>1</v>
      </c>
      <c r="B7">
        <v>79.739999999999995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E7DA5-3AF9-4940-90E9-69554EF79788}">
  <sheetPr codeName="Sheet13"/>
  <dimension ref="A1:E30"/>
  <sheetViews>
    <sheetView workbookViewId="0"/>
  </sheetViews>
  <sheetFormatPr defaultRowHeight="14.4" x14ac:dyDescent="0.3"/>
  <sheetData>
    <row r="1" spans="1:5" x14ac:dyDescent="0.3">
      <c r="A1" t="s">
        <v>268</v>
      </c>
      <c r="B1" t="s">
        <v>271</v>
      </c>
    </row>
    <row r="3" spans="1:5" x14ac:dyDescent="0.3">
      <c r="A3">
        <v>1</v>
      </c>
      <c r="B3">
        <v>13.03</v>
      </c>
      <c r="C3" t="s">
        <v>278</v>
      </c>
      <c r="E3">
        <v>25.000000000000298</v>
      </c>
    </row>
    <row r="4" spans="1:5" x14ac:dyDescent="0.3">
      <c r="A4">
        <v>1</v>
      </c>
      <c r="B4">
        <v>10.33</v>
      </c>
      <c r="C4" t="s">
        <v>279</v>
      </c>
    </row>
    <row r="5" spans="1:5" x14ac:dyDescent="0.3">
      <c r="A5">
        <v>1</v>
      </c>
      <c r="B5">
        <v>30.08</v>
      </c>
      <c r="C5" t="s">
        <v>279</v>
      </c>
    </row>
    <row r="6" spans="1:5" x14ac:dyDescent="0.3">
      <c r="A6">
        <v>1</v>
      </c>
      <c r="B6">
        <v>16.18</v>
      </c>
      <c r="C6" t="s">
        <v>278</v>
      </c>
    </row>
    <row r="7" spans="1:5" x14ac:dyDescent="0.3">
      <c r="A7">
        <v>1</v>
      </c>
      <c r="B7">
        <v>7.83</v>
      </c>
      <c r="C7" t="s">
        <v>280</v>
      </c>
    </row>
    <row r="8" spans="1:5" x14ac:dyDescent="0.3">
      <c r="A8">
        <v>1</v>
      </c>
      <c r="B8">
        <v>9.19</v>
      </c>
      <c r="C8" t="s">
        <v>278</v>
      </c>
    </row>
    <row r="9" spans="1:5" x14ac:dyDescent="0.3">
      <c r="A9">
        <v>1</v>
      </c>
      <c r="B9">
        <v>9.9700000000000006</v>
      </c>
      <c r="C9" t="s">
        <v>280</v>
      </c>
    </row>
    <row r="10" spans="1:5" x14ac:dyDescent="0.3">
      <c r="A10">
        <v>1</v>
      </c>
      <c r="B10">
        <v>12.98</v>
      </c>
      <c r="C10" t="s">
        <v>278</v>
      </c>
    </row>
    <row r="11" spans="1:5" x14ac:dyDescent="0.3">
      <c r="A11">
        <v>1</v>
      </c>
      <c r="B11">
        <v>13.47</v>
      </c>
      <c r="C11" t="s">
        <v>279</v>
      </c>
    </row>
    <row r="12" spans="1:5" x14ac:dyDescent="0.3">
      <c r="A12">
        <v>1</v>
      </c>
      <c r="B12">
        <v>3.52</v>
      </c>
      <c r="C12" t="s">
        <v>278</v>
      </c>
    </row>
    <row r="13" spans="1:5" x14ac:dyDescent="0.3">
      <c r="A13">
        <v>1</v>
      </c>
      <c r="B13">
        <v>16.649999999999999</v>
      </c>
      <c r="C13" t="s">
        <v>278</v>
      </c>
    </row>
    <row r="14" spans="1:5" x14ac:dyDescent="0.3">
      <c r="A14">
        <v>1</v>
      </c>
      <c r="B14">
        <v>30.08</v>
      </c>
      <c r="C14" t="s">
        <v>280</v>
      </c>
    </row>
    <row r="15" spans="1:5" x14ac:dyDescent="0.3">
      <c r="A15">
        <v>1</v>
      </c>
      <c r="B15">
        <v>12.36</v>
      </c>
      <c r="C15" t="s">
        <v>278</v>
      </c>
    </row>
    <row r="16" spans="1:5" x14ac:dyDescent="0.3">
      <c r="A16">
        <v>1</v>
      </c>
      <c r="B16">
        <v>12.1</v>
      </c>
      <c r="C16" t="s">
        <v>279</v>
      </c>
    </row>
    <row r="17" spans="1:3" x14ac:dyDescent="0.3">
      <c r="A17">
        <v>1</v>
      </c>
      <c r="B17">
        <v>13.06</v>
      </c>
      <c r="C17" t="s">
        <v>278</v>
      </c>
    </row>
    <row r="18" spans="1:3" x14ac:dyDescent="0.3">
      <c r="A18">
        <v>1</v>
      </c>
      <c r="B18">
        <v>11.36</v>
      </c>
      <c r="C18" t="s">
        <v>279</v>
      </c>
    </row>
    <row r="19" spans="1:3" x14ac:dyDescent="0.3">
      <c r="A19">
        <v>1</v>
      </c>
      <c r="B19">
        <v>12.93</v>
      </c>
      <c r="C19" t="s">
        <v>278</v>
      </c>
    </row>
    <row r="20" spans="1:3" x14ac:dyDescent="0.3">
      <c r="A20">
        <v>1</v>
      </c>
      <c r="B20">
        <v>11.27</v>
      </c>
      <c r="C20" t="s">
        <v>279</v>
      </c>
    </row>
    <row r="21" spans="1:3" x14ac:dyDescent="0.3">
      <c r="A21">
        <v>1</v>
      </c>
      <c r="B21">
        <v>8.9600000000000009</v>
      </c>
      <c r="C21" t="s">
        <v>281</v>
      </c>
    </row>
    <row r="22" spans="1:3" x14ac:dyDescent="0.3">
      <c r="A22">
        <v>1</v>
      </c>
      <c r="B22">
        <v>16.649999999999999</v>
      </c>
      <c r="C22" t="s">
        <v>278</v>
      </c>
    </row>
    <row r="23" spans="1:3" x14ac:dyDescent="0.3">
      <c r="A23">
        <v>1</v>
      </c>
      <c r="B23">
        <v>18.64</v>
      </c>
      <c r="C23" t="s">
        <v>280</v>
      </c>
    </row>
    <row r="24" spans="1:3" x14ac:dyDescent="0.3">
      <c r="A24">
        <v>1</v>
      </c>
      <c r="B24">
        <v>7.53</v>
      </c>
      <c r="C24" t="s">
        <v>279</v>
      </c>
    </row>
    <row r="25" spans="1:3" x14ac:dyDescent="0.3">
      <c r="A25">
        <v>1</v>
      </c>
      <c r="B25">
        <v>13.73</v>
      </c>
      <c r="C25" t="s">
        <v>278</v>
      </c>
    </row>
    <row r="26" spans="1:3" x14ac:dyDescent="0.3">
      <c r="A26">
        <v>1</v>
      </c>
      <c r="B26">
        <v>11.36</v>
      </c>
      <c r="C26" t="s">
        <v>279</v>
      </c>
    </row>
    <row r="27" spans="1:3" x14ac:dyDescent="0.3">
      <c r="A27">
        <v>1</v>
      </c>
      <c r="B27">
        <v>12.93</v>
      </c>
      <c r="C27" t="s">
        <v>278</v>
      </c>
    </row>
    <row r="28" spans="1:3" x14ac:dyDescent="0.3">
      <c r="A28">
        <v>1</v>
      </c>
      <c r="B28">
        <v>11.27</v>
      </c>
      <c r="C28" t="s">
        <v>279</v>
      </c>
    </row>
    <row r="29" spans="1:3" x14ac:dyDescent="0.3">
      <c r="A29">
        <v>1</v>
      </c>
      <c r="B29">
        <v>8.9600000000000009</v>
      </c>
      <c r="C29" t="s">
        <v>281</v>
      </c>
    </row>
    <row r="30" spans="1:3" x14ac:dyDescent="0.3">
      <c r="A30">
        <v>1</v>
      </c>
      <c r="B30">
        <v>5.62</v>
      </c>
      <c r="C30" t="s">
        <v>281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DEE96-DF0B-4871-A9F2-FAE3BBD8C438}">
  <sheetPr codeName="Sheet14"/>
  <dimension ref="A1:D36"/>
  <sheetViews>
    <sheetView workbookViewId="0"/>
  </sheetViews>
  <sheetFormatPr defaultRowHeight="14.4" x14ac:dyDescent="0.3"/>
  <sheetData>
    <row r="1" spans="1:4" x14ac:dyDescent="0.3">
      <c r="A1" t="s">
        <v>268</v>
      </c>
      <c r="B1" t="s">
        <v>269</v>
      </c>
      <c r="C1" t="s">
        <v>270</v>
      </c>
    </row>
    <row r="3" spans="1:4" x14ac:dyDescent="0.3">
      <c r="A3">
        <v>1</v>
      </c>
      <c r="B3">
        <v>1.83</v>
      </c>
      <c r="C3">
        <v>1.8</v>
      </c>
      <c r="D3" t="s">
        <v>280</v>
      </c>
    </row>
    <row r="4" spans="1:4" x14ac:dyDescent="0.3">
      <c r="A4">
        <v>1</v>
      </c>
      <c r="B4">
        <v>0.86</v>
      </c>
      <c r="C4">
        <v>0.91</v>
      </c>
      <c r="D4" t="s">
        <v>278</v>
      </c>
    </row>
    <row r="5" spans="1:4" x14ac:dyDescent="0.3">
      <c r="A5">
        <v>1</v>
      </c>
      <c r="B5">
        <v>0.86</v>
      </c>
      <c r="C5">
        <v>0.91</v>
      </c>
      <c r="D5" t="s">
        <v>278</v>
      </c>
    </row>
    <row r="6" spans="1:4" x14ac:dyDescent="0.3">
      <c r="A6">
        <v>1</v>
      </c>
      <c r="B6">
        <v>0.86</v>
      </c>
      <c r="C6">
        <v>0.91</v>
      </c>
      <c r="D6" t="s">
        <v>280</v>
      </c>
    </row>
    <row r="7" spans="1:4" x14ac:dyDescent="0.3">
      <c r="A7">
        <v>1</v>
      </c>
      <c r="B7">
        <v>0.86</v>
      </c>
      <c r="C7">
        <v>0.91</v>
      </c>
      <c r="D7" t="s">
        <v>280</v>
      </c>
    </row>
    <row r="8" spans="1:4" x14ac:dyDescent="0.3">
      <c r="A8">
        <v>1</v>
      </c>
      <c r="B8">
        <v>0.91</v>
      </c>
      <c r="C8">
        <v>1.22</v>
      </c>
      <c r="D8" t="s">
        <v>278</v>
      </c>
    </row>
    <row r="9" spans="1:4" x14ac:dyDescent="0.3">
      <c r="A9">
        <v>1</v>
      </c>
      <c r="B9">
        <v>0.41</v>
      </c>
      <c r="C9">
        <v>0.61</v>
      </c>
      <c r="D9" t="s">
        <v>280</v>
      </c>
    </row>
    <row r="10" spans="1:4" x14ac:dyDescent="0.3">
      <c r="A10">
        <v>1</v>
      </c>
      <c r="B10">
        <v>0.41</v>
      </c>
      <c r="C10">
        <v>0.61</v>
      </c>
      <c r="D10" t="s">
        <v>281</v>
      </c>
    </row>
    <row r="11" spans="1:4" x14ac:dyDescent="0.3">
      <c r="A11">
        <v>1</v>
      </c>
      <c r="B11">
        <v>0.41</v>
      </c>
      <c r="C11">
        <v>0.61</v>
      </c>
      <c r="D11" t="s">
        <v>281</v>
      </c>
    </row>
    <row r="12" spans="1:4" x14ac:dyDescent="0.3">
      <c r="A12">
        <v>1</v>
      </c>
      <c r="B12">
        <v>0.41</v>
      </c>
      <c r="C12">
        <v>0.61</v>
      </c>
      <c r="D12" t="s">
        <v>280</v>
      </c>
    </row>
    <row r="13" spans="1:4" x14ac:dyDescent="0.3">
      <c r="A13">
        <v>1</v>
      </c>
      <c r="B13">
        <v>0.41</v>
      </c>
      <c r="C13">
        <v>0.61</v>
      </c>
      <c r="D13" t="s">
        <v>281</v>
      </c>
    </row>
    <row r="14" spans="1:4" x14ac:dyDescent="0.3">
      <c r="A14">
        <v>1</v>
      </c>
      <c r="B14">
        <v>0.41</v>
      </c>
      <c r="C14">
        <v>0.61</v>
      </c>
      <c r="D14" t="s">
        <v>281</v>
      </c>
    </row>
    <row r="15" spans="1:4" x14ac:dyDescent="0.3">
      <c r="A15">
        <v>1</v>
      </c>
      <c r="B15">
        <v>0.41</v>
      </c>
      <c r="C15">
        <v>0.61</v>
      </c>
      <c r="D15" t="s">
        <v>280</v>
      </c>
    </row>
    <row r="16" spans="1:4" x14ac:dyDescent="0.3">
      <c r="A16">
        <v>1</v>
      </c>
      <c r="B16">
        <v>0.41</v>
      </c>
      <c r="C16">
        <v>0.61</v>
      </c>
      <c r="D16" t="s">
        <v>281</v>
      </c>
    </row>
    <row r="17" spans="1:4" x14ac:dyDescent="0.3">
      <c r="A17">
        <v>1</v>
      </c>
      <c r="B17">
        <v>0.41</v>
      </c>
      <c r="C17">
        <v>0.61</v>
      </c>
      <c r="D17" t="s">
        <v>281</v>
      </c>
    </row>
    <row r="18" spans="1:4" x14ac:dyDescent="0.3">
      <c r="A18">
        <v>1</v>
      </c>
      <c r="B18">
        <v>1.83</v>
      </c>
      <c r="C18">
        <v>1.8</v>
      </c>
      <c r="D18" t="s">
        <v>281</v>
      </c>
    </row>
    <row r="19" spans="1:4" x14ac:dyDescent="0.3">
      <c r="A19">
        <v>1</v>
      </c>
      <c r="B19">
        <v>1.83</v>
      </c>
      <c r="C19">
        <v>1.8</v>
      </c>
      <c r="D19" t="s">
        <v>279</v>
      </c>
    </row>
    <row r="20" spans="1:4" x14ac:dyDescent="0.3">
      <c r="A20">
        <v>1</v>
      </c>
      <c r="B20">
        <v>1.83</v>
      </c>
      <c r="C20">
        <v>1.8</v>
      </c>
      <c r="D20" t="s">
        <v>279</v>
      </c>
    </row>
    <row r="21" spans="1:4" x14ac:dyDescent="0.3">
      <c r="A21">
        <v>1</v>
      </c>
      <c r="B21">
        <v>1.83</v>
      </c>
      <c r="C21">
        <v>1.8</v>
      </c>
      <c r="D21" t="s">
        <v>278</v>
      </c>
    </row>
    <row r="22" spans="1:4" x14ac:dyDescent="0.3">
      <c r="A22">
        <v>1</v>
      </c>
      <c r="B22">
        <v>1.83</v>
      </c>
      <c r="C22">
        <v>1.8</v>
      </c>
      <c r="D22" t="s">
        <v>280</v>
      </c>
    </row>
    <row r="23" spans="1:4" x14ac:dyDescent="0.3">
      <c r="A23">
        <v>1</v>
      </c>
      <c r="B23">
        <v>1.83</v>
      </c>
      <c r="C23">
        <v>1.8</v>
      </c>
      <c r="D23" t="s">
        <v>281</v>
      </c>
    </row>
    <row r="24" spans="1:4" x14ac:dyDescent="0.3">
      <c r="A24">
        <v>1</v>
      </c>
      <c r="B24">
        <v>1.83</v>
      </c>
      <c r="C24">
        <v>1.8</v>
      </c>
      <c r="D24" t="s">
        <v>279</v>
      </c>
    </row>
    <row r="25" spans="1:4" x14ac:dyDescent="0.3">
      <c r="A25">
        <v>1</v>
      </c>
      <c r="B25">
        <v>1.83</v>
      </c>
      <c r="C25">
        <v>1.8</v>
      </c>
      <c r="D25" t="s">
        <v>278</v>
      </c>
    </row>
    <row r="26" spans="1:4" x14ac:dyDescent="0.3">
      <c r="A26">
        <v>1</v>
      </c>
      <c r="B26">
        <v>1.83</v>
      </c>
      <c r="C26">
        <v>1.8</v>
      </c>
      <c r="D26" t="s">
        <v>278</v>
      </c>
    </row>
    <row r="27" spans="1:4" x14ac:dyDescent="0.3">
      <c r="A27">
        <v>1</v>
      </c>
      <c r="B27">
        <v>1.83</v>
      </c>
      <c r="C27">
        <v>1.8</v>
      </c>
      <c r="D27" t="s">
        <v>280</v>
      </c>
    </row>
    <row r="28" spans="1:4" x14ac:dyDescent="0.3">
      <c r="A28">
        <v>1</v>
      </c>
      <c r="B28">
        <v>1.83</v>
      </c>
      <c r="C28">
        <v>1.8</v>
      </c>
      <c r="D28" t="s">
        <v>279</v>
      </c>
    </row>
    <row r="29" spans="1:4" x14ac:dyDescent="0.3">
      <c r="A29">
        <v>1</v>
      </c>
      <c r="B29">
        <v>1.83</v>
      </c>
      <c r="C29">
        <v>1.8</v>
      </c>
      <c r="D29" t="s">
        <v>280</v>
      </c>
    </row>
    <row r="30" spans="1:4" x14ac:dyDescent="0.3">
      <c r="A30">
        <v>1</v>
      </c>
      <c r="B30">
        <v>1.83</v>
      </c>
      <c r="C30">
        <v>1.8</v>
      </c>
      <c r="D30" t="s">
        <v>278</v>
      </c>
    </row>
    <row r="31" spans="1:4" x14ac:dyDescent="0.3">
      <c r="A31">
        <v>1</v>
      </c>
      <c r="B31">
        <v>1.83</v>
      </c>
      <c r="C31">
        <v>1.8</v>
      </c>
      <c r="D31" t="s">
        <v>278</v>
      </c>
    </row>
    <row r="32" spans="1:4" x14ac:dyDescent="0.3">
      <c r="A32">
        <v>1</v>
      </c>
      <c r="B32">
        <v>1.83</v>
      </c>
      <c r="C32">
        <v>1.8</v>
      </c>
      <c r="D32" t="s">
        <v>280</v>
      </c>
    </row>
    <row r="33" spans="1:4" x14ac:dyDescent="0.3">
      <c r="A33">
        <v>1</v>
      </c>
      <c r="B33">
        <v>1.83</v>
      </c>
      <c r="C33">
        <v>1.8</v>
      </c>
      <c r="D33" t="s">
        <v>279</v>
      </c>
    </row>
    <row r="34" spans="1:4" x14ac:dyDescent="0.3">
      <c r="A34">
        <v>1</v>
      </c>
      <c r="B34">
        <v>0.91</v>
      </c>
      <c r="C34">
        <v>1.22</v>
      </c>
      <c r="D34" t="s">
        <v>278</v>
      </c>
    </row>
    <row r="35" spans="1:4" x14ac:dyDescent="0.3">
      <c r="A35">
        <v>1</v>
      </c>
      <c r="B35">
        <v>0.91</v>
      </c>
      <c r="C35">
        <v>1.22</v>
      </c>
      <c r="D35" t="s">
        <v>278</v>
      </c>
    </row>
    <row r="36" spans="1:4" x14ac:dyDescent="0.3">
      <c r="A36">
        <v>1</v>
      </c>
      <c r="B36">
        <v>3.66</v>
      </c>
      <c r="C36">
        <v>2.74</v>
      </c>
      <c r="D36" t="s">
        <v>281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zoomScale="70" zoomScaleNormal="70" workbookViewId="0">
      <selection sqref="A1:Q1"/>
    </sheetView>
  </sheetViews>
  <sheetFormatPr defaultRowHeight="14.4" x14ac:dyDescent="0.3"/>
  <cols>
    <col min="2" max="2" width="28.6640625" customWidth="1"/>
  </cols>
  <sheetData>
    <row r="1" spans="1:40" ht="15.6" x14ac:dyDescent="0.3">
      <c r="A1" s="196" t="s">
        <v>10</v>
      </c>
      <c r="B1" s="196"/>
      <c r="C1" s="196"/>
      <c r="D1" s="196"/>
      <c r="E1" s="196"/>
      <c r="F1" s="196"/>
      <c r="G1" s="196"/>
      <c r="H1" s="196"/>
      <c r="I1" s="196"/>
      <c r="J1" s="196"/>
      <c r="K1" s="196"/>
      <c r="L1" s="196"/>
      <c r="M1" s="196"/>
      <c r="N1" s="196"/>
      <c r="O1" s="196"/>
      <c r="P1" s="196"/>
      <c r="Q1" s="196"/>
    </row>
    <row r="2" spans="1:40" x14ac:dyDescent="0.3">
      <c r="A2" s="194" t="s">
        <v>11</v>
      </c>
      <c r="B2" s="194"/>
      <c r="C2" s="194"/>
      <c r="D2" s="197" t="s">
        <v>4</v>
      </c>
      <c r="E2" s="197"/>
      <c r="G2" s="193" t="s">
        <v>231</v>
      </c>
      <c r="H2" s="193"/>
      <c r="I2" s="193"/>
      <c r="J2" s="193"/>
      <c r="K2" s="135">
        <v>0.29899999999999999</v>
      </c>
    </row>
    <row r="3" spans="1:40" x14ac:dyDescent="0.3">
      <c r="A3" s="194" t="s">
        <v>128</v>
      </c>
      <c r="B3" s="194"/>
      <c r="C3" s="194"/>
      <c r="D3" s="197" t="s">
        <v>131</v>
      </c>
      <c r="E3" s="197"/>
      <c r="G3" s="193" t="s">
        <v>229</v>
      </c>
      <c r="H3" s="193"/>
      <c r="I3" s="193"/>
      <c r="J3" s="193"/>
      <c r="K3" s="135">
        <v>50</v>
      </c>
    </row>
    <row r="4" spans="1:40" x14ac:dyDescent="0.3">
      <c r="A4" s="194" t="s">
        <v>27</v>
      </c>
      <c r="B4" s="194"/>
      <c r="C4" s="194"/>
      <c r="D4" s="195">
        <v>26</v>
      </c>
      <c r="E4" s="195"/>
      <c r="G4" s="193" t="s">
        <v>227</v>
      </c>
      <c r="H4" s="193"/>
      <c r="I4" s="193"/>
      <c r="J4" s="193"/>
      <c r="K4" s="135">
        <v>10</v>
      </c>
    </row>
    <row r="5" spans="1:40" x14ac:dyDescent="0.3">
      <c r="A5" s="194" t="s">
        <v>111</v>
      </c>
      <c r="B5" s="194"/>
      <c r="C5" s="194"/>
      <c r="D5" s="195">
        <v>0.5</v>
      </c>
      <c r="E5" s="195"/>
      <c r="G5" s="193" t="s">
        <v>230</v>
      </c>
      <c r="H5" s="193"/>
      <c r="I5" s="193"/>
      <c r="J5" s="193"/>
      <c r="K5" s="135">
        <v>30</v>
      </c>
    </row>
    <row r="6" spans="1:40" x14ac:dyDescent="0.3">
      <c r="A6" s="210" t="s">
        <v>98</v>
      </c>
      <c r="B6" s="210"/>
      <c r="C6" s="210"/>
      <c r="D6" s="195"/>
      <c r="E6" s="204"/>
      <c r="F6" s="118"/>
    </row>
    <row r="7" spans="1:40" x14ac:dyDescent="0.3">
      <c r="A7" s="210" t="s">
        <v>104</v>
      </c>
      <c r="B7" s="210"/>
      <c r="C7" s="210"/>
      <c r="D7" s="195">
        <f>City_Details!H15</f>
        <v>0.74</v>
      </c>
      <c r="E7" s="195"/>
    </row>
    <row r="8" spans="1:40" x14ac:dyDescent="0.3">
      <c r="A8" s="210" t="s">
        <v>108</v>
      </c>
      <c r="B8" s="210"/>
      <c r="C8" s="210"/>
      <c r="D8" s="195">
        <f>City_Details!H16</f>
        <v>100.8</v>
      </c>
      <c r="E8" s="195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204" t="s">
        <v>34</v>
      </c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3"/>
      <c r="X12" s="201" t="s">
        <v>34</v>
      </c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3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204" t="s">
        <v>55</v>
      </c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2"/>
      <c r="S14" s="202"/>
      <c r="T14" s="202"/>
      <c r="U14" s="202"/>
      <c r="V14" s="202"/>
      <c r="W14" s="203"/>
      <c r="X14" s="205" t="s">
        <v>212</v>
      </c>
      <c r="Y14" s="195"/>
      <c r="Z14" s="195"/>
      <c r="AA14" s="195"/>
      <c r="AB14" s="195"/>
      <c r="AC14" s="195"/>
      <c r="AD14" s="195"/>
      <c r="AE14" s="195"/>
      <c r="AF14" s="195"/>
      <c r="AG14" s="195"/>
      <c r="AH14" s="195"/>
      <c r="AI14" s="195"/>
      <c r="AJ14" s="204"/>
      <c r="AK14" s="204"/>
      <c r="AL14" s="204"/>
      <c r="AM14" s="204"/>
      <c r="AN14" s="206"/>
    </row>
    <row r="15" spans="1:40" x14ac:dyDescent="0.3">
      <c r="A15" s="24"/>
      <c r="B15" s="25" t="s">
        <v>56</v>
      </c>
      <c r="C15" s="26"/>
      <c r="D15" s="27"/>
      <c r="E15" s="82"/>
      <c r="F15" s="82"/>
      <c r="G15" s="32" t="e">
        <f>Wall!J24</f>
        <v>#N/A</v>
      </c>
      <c r="H15" s="89" t="e">
        <f>Wall!K24</f>
        <v>#N/A</v>
      </c>
      <c r="I15" s="89" t="e">
        <f>Wall!L24</f>
        <v>#N/A</v>
      </c>
      <c r="J15" s="89" t="e">
        <f>Wall!M24</f>
        <v>#N/A</v>
      </c>
      <c r="K15" s="89" t="e">
        <f>Wall!N24</f>
        <v>#N/A</v>
      </c>
      <c r="L15" s="89" t="e">
        <f>Wall!O24</f>
        <v>#N/A</v>
      </c>
      <c r="M15" s="89" t="e">
        <f>Wall!P24</f>
        <v>#N/A</v>
      </c>
      <c r="N15" s="89" t="e">
        <f>Wall!Q24</f>
        <v>#N/A</v>
      </c>
      <c r="O15" s="89" t="e">
        <f>Wall!R24</f>
        <v>#N/A</v>
      </c>
      <c r="P15" s="89" t="e">
        <f>Wall!S24</f>
        <v>#N/A</v>
      </c>
      <c r="Q15" s="89" t="e">
        <f>Wall!T24</f>
        <v>#N/A</v>
      </c>
      <c r="R15" s="89" t="e">
        <f>Wall!U24</f>
        <v>#N/A</v>
      </c>
      <c r="S15" s="89" t="e">
        <f>Wall!V24</f>
        <v>#N/A</v>
      </c>
      <c r="T15" s="89" t="e">
        <f>Wall!W24</f>
        <v>#N/A</v>
      </c>
      <c r="U15" s="89" t="e">
        <f>Wall!X24</f>
        <v>#N/A</v>
      </c>
      <c r="V15" s="89" t="e">
        <f>Wall!Y24</f>
        <v>#N/A</v>
      </c>
      <c r="W15" s="89" t="e">
        <f>Wall!Z24</f>
        <v>#N/A</v>
      </c>
      <c r="X15" s="34" t="e">
        <f>0.293071*$E15*$F15*G15</f>
        <v>#N/A</v>
      </c>
      <c r="Y15" s="88" t="e">
        <f t="shared" ref="Y15:AN15" si="0">0.293071*$E15*$F15*H15</f>
        <v>#N/A</v>
      </c>
      <c r="Z15" s="88" t="e">
        <f t="shared" si="0"/>
        <v>#N/A</v>
      </c>
      <c r="AA15" s="88" t="e">
        <f t="shared" si="0"/>
        <v>#N/A</v>
      </c>
      <c r="AB15" s="88" t="e">
        <f t="shared" si="0"/>
        <v>#N/A</v>
      </c>
      <c r="AC15" s="88" t="e">
        <f t="shared" si="0"/>
        <v>#N/A</v>
      </c>
      <c r="AD15" s="88" t="e">
        <f t="shared" si="0"/>
        <v>#N/A</v>
      </c>
      <c r="AE15" s="88" t="e">
        <f t="shared" si="0"/>
        <v>#N/A</v>
      </c>
      <c r="AF15" s="88" t="e">
        <f t="shared" si="0"/>
        <v>#N/A</v>
      </c>
      <c r="AG15" s="88" t="e">
        <f t="shared" si="0"/>
        <v>#N/A</v>
      </c>
      <c r="AH15" s="88" t="e">
        <f t="shared" si="0"/>
        <v>#N/A</v>
      </c>
      <c r="AI15" s="88" t="e">
        <f t="shared" si="0"/>
        <v>#N/A</v>
      </c>
      <c r="AJ15" s="88" t="e">
        <f t="shared" si="0"/>
        <v>#N/A</v>
      </c>
      <c r="AK15" s="88" t="e">
        <f t="shared" si="0"/>
        <v>#N/A</v>
      </c>
      <c r="AL15" s="88" t="e">
        <f t="shared" si="0"/>
        <v>#N/A</v>
      </c>
      <c r="AM15" s="88" t="e">
        <f t="shared" si="0"/>
        <v>#N/A</v>
      </c>
      <c r="AN15" s="88" t="e">
        <f t="shared" si="0"/>
        <v>#N/A</v>
      </c>
    </row>
    <row r="16" spans="1:40" x14ac:dyDescent="0.3">
      <c r="A16" s="24"/>
      <c r="B16" s="25" t="s">
        <v>116</v>
      </c>
      <c r="C16" s="26"/>
      <c r="D16" s="27"/>
      <c r="E16" s="82"/>
      <c r="F16" s="82"/>
      <c r="G16" s="89" t="e">
        <f>Wall!J25</f>
        <v>#N/A</v>
      </c>
      <c r="H16" s="89" t="e">
        <f>Wall!K25</f>
        <v>#N/A</v>
      </c>
      <c r="I16" s="89" t="e">
        <f>Wall!L25</f>
        <v>#N/A</v>
      </c>
      <c r="J16" s="89" t="e">
        <f>Wall!M25</f>
        <v>#N/A</v>
      </c>
      <c r="K16" s="89" t="e">
        <f>Wall!N25</f>
        <v>#N/A</v>
      </c>
      <c r="L16" s="89" t="e">
        <f>Wall!O25</f>
        <v>#N/A</v>
      </c>
      <c r="M16" s="89" t="e">
        <f>Wall!P25</f>
        <v>#N/A</v>
      </c>
      <c r="N16" s="89" t="e">
        <f>Wall!Q25</f>
        <v>#N/A</v>
      </c>
      <c r="O16" s="89" t="e">
        <f>Wall!R25</f>
        <v>#N/A</v>
      </c>
      <c r="P16" s="89" t="e">
        <f>Wall!S25</f>
        <v>#N/A</v>
      </c>
      <c r="Q16" s="89" t="e">
        <f>Wall!T25</f>
        <v>#N/A</v>
      </c>
      <c r="R16" s="89" t="e">
        <f>Wall!U25</f>
        <v>#N/A</v>
      </c>
      <c r="S16" s="89" t="e">
        <f>Wall!V25</f>
        <v>#N/A</v>
      </c>
      <c r="T16" s="89" t="e">
        <f>Wall!W25</f>
        <v>#N/A</v>
      </c>
      <c r="U16" s="89" t="e">
        <f>Wall!X25</f>
        <v>#N/A</v>
      </c>
      <c r="V16" s="89" t="e">
        <f>Wall!Y25</f>
        <v>#N/A</v>
      </c>
      <c r="W16" s="89" t="e">
        <f>Wall!Z25</f>
        <v>#N/A</v>
      </c>
      <c r="X16" s="88" t="e">
        <f t="shared" ref="X16:X23" si="1">0.293071*$E16*$F16*G16</f>
        <v>#N/A</v>
      </c>
      <c r="Y16" s="88" t="e">
        <f t="shared" ref="Y16:Y23" si="2">0.293071*$E16*$F16*H16</f>
        <v>#N/A</v>
      </c>
      <c r="Z16" s="88" t="e">
        <f t="shared" ref="Z16:Z23" si="3">0.293071*$E16*$F16*I16</f>
        <v>#N/A</v>
      </c>
      <c r="AA16" s="88" t="e">
        <f t="shared" ref="AA16:AA23" si="4">0.293071*$E16*$F16*J16</f>
        <v>#N/A</v>
      </c>
      <c r="AB16" s="88" t="e">
        <f t="shared" ref="AB16:AB23" si="5">0.293071*$E16*$F16*K16</f>
        <v>#N/A</v>
      </c>
      <c r="AC16" s="88" t="e">
        <f t="shared" ref="AC16:AC23" si="6">0.293071*$E16*$F16*L16</f>
        <v>#N/A</v>
      </c>
      <c r="AD16" s="88" t="e">
        <f t="shared" ref="AD16:AD23" si="7">0.293071*$E16*$F16*M16</f>
        <v>#N/A</v>
      </c>
      <c r="AE16" s="88" t="e">
        <f t="shared" ref="AE16:AE23" si="8">0.293071*$E16*$F16*N16</f>
        <v>#N/A</v>
      </c>
      <c r="AF16" s="88" t="e">
        <f t="shared" ref="AF16:AF23" si="9">0.293071*$E16*$F16*O16</f>
        <v>#N/A</v>
      </c>
      <c r="AG16" s="88" t="e">
        <f t="shared" ref="AG16:AG23" si="10">0.293071*$E16*$F16*P16</f>
        <v>#N/A</v>
      </c>
      <c r="AH16" s="88" t="e">
        <f t="shared" ref="AH16:AH23" si="11">0.293071*$E16*$F16*Q16</f>
        <v>#N/A</v>
      </c>
      <c r="AI16" s="88" t="e">
        <f t="shared" ref="AI16:AI23" si="12">0.293071*$E16*$F16*R16</f>
        <v>#N/A</v>
      </c>
      <c r="AJ16" s="88" t="e">
        <f t="shared" ref="AJ16:AJ23" si="13">0.293071*$E16*$F16*S16</f>
        <v>#N/A</v>
      </c>
      <c r="AK16" s="88" t="e">
        <f t="shared" ref="AK16:AK23" si="14">0.293071*$E16*$F16*T16</f>
        <v>#N/A</v>
      </c>
      <c r="AL16" s="88" t="e">
        <f t="shared" ref="AL16:AL23" si="15">0.293071*$E16*$F16*U16</f>
        <v>#N/A</v>
      </c>
      <c r="AM16" s="88" t="e">
        <f t="shared" ref="AM16:AM23" si="16">0.293071*$E16*$F16*V16</f>
        <v>#N/A</v>
      </c>
      <c r="AN16" s="88" t="e">
        <f t="shared" ref="AN16:AN23" si="17">0.293071*$E16*$F16*W16</f>
        <v>#N/A</v>
      </c>
    </row>
    <row r="17" spans="1:40" x14ac:dyDescent="0.3">
      <c r="A17" s="24"/>
      <c r="B17" s="25" t="s">
        <v>58</v>
      </c>
      <c r="C17" s="26"/>
      <c r="D17" s="27"/>
      <c r="E17" s="82"/>
      <c r="F17" s="82"/>
      <c r="G17" s="89" t="e">
        <f>Wall!J26</f>
        <v>#N/A</v>
      </c>
      <c r="H17" s="89" t="e">
        <f>Wall!K26</f>
        <v>#N/A</v>
      </c>
      <c r="I17" s="89" t="e">
        <f>Wall!L26</f>
        <v>#N/A</v>
      </c>
      <c r="J17" s="89" t="e">
        <f>Wall!M26</f>
        <v>#N/A</v>
      </c>
      <c r="K17" s="89" t="e">
        <f>Wall!N26</f>
        <v>#N/A</v>
      </c>
      <c r="L17" s="89" t="e">
        <f>Wall!O26</f>
        <v>#N/A</v>
      </c>
      <c r="M17" s="89" t="e">
        <f>Wall!P26</f>
        <v>#N/A</v>
      </c>
      <c r="N17" s="89" t="e">
        <f>Wall!Q26</f>
        <v>#N/A</v>
      </c>
      <c r="O17" s="89" t="e">
        <f>Wall!R26</f>
        <v>#N/A</v>
      </c>
      <c r="P17" s="89" t="e">
        <f>Wall!S26</f>
        <v>#N/A</v>
      </c>
      <c r="Q17" s="89" t="e">
        <f>Wall!T26</f>
        <v>#N/A</v>
      </c>
      <c r="R17" s="89" t="e">
        <f>Wall!U26</f>
        <v>#N/A</v>
      </c>
      <c r="S17" s="89" t="e">
        <f>Wall!V26</f>
        <v>#N/A</v>
      </c>
      <c r="T17" s="89" t="e">
        <f>Wall!W26</f>
        <v>#N/A</v>
      </c>
      <c r="U17" s="89" t="e">
        <f>Wall!X26</f>
        <v>#N/A</v>
      </c>
      <c r="V17" s="89" t="e">
        <f>Wall!Y26</f>
        <v>#N/A</v>
      </c>
      <c r="W17" s="89" t="e">
        <f>Wall!Z26</f>
        <v>#N/A</v>
      </c>
      <c r="X17" s="88" t="e">
        <f t="shared" si="1"/>
        <v>#N/A</v>
      </c>
      <c r="Y17" s="88" t="e">
        <f t="shared" si="2"/>
        <v>#N/A</v>
      </c>
      <c r="Z17" s="88" t="e">
        <f t="shared" si="3"/>
        <v>#N/A</v>
      </c>
      <c r="AA17" s="88" t="e">
        <f t="shared" si="4"/>
        <v>#N/A</v>
      </c>
      <c r="AB17" s="88" t="e">
        <f t="shared" si="5"/>
        <v>#N/A</v>
      </c>
      <c r="AC17" s="88" t="e">
        <f t="shared" si="6"/>
        <v>#N/A</v>
      </c>
      <c r="AD17" s="88" t="e">
        <f t="shared" si="7"/>
        <v>#N/A</v>
      </c>
      <c r="AE17" s="88" t="e">
        <f t="shared" si="8"/>
        <v>#N/A</v>
      </c>
      <c r="AF17" s="88" t="e">
        <f t="shared" si="9"/>
        <v>#N/A</v>
      </c>
      <c r="AG17" s="88" t="e">
        <f t="shared" si="10"/>
        <v>#N/A</v>
      </c>
      <c r="AH17" s="88" t="e">
        <f t="shared" si="11"/>
        <v>#N/A</v>
      </c>
      <c r="AI17" s="88" t="e">
        <f t="shared" si="12"/>
        <v>#N/A</v>
      </c>
      <c r="AJ17" s="88" t="e">
        <f t="shared" si="13"/>
        <v>#N/A</v>
      </c>
      <c r="AK17" s="88" t="e">
        <f t="shared" si="14"/>
        <v>#N/A</v>
      </c>
      <c r="AL17" s="88" t="e">
        <f t="shared" si="15"/>
        <v>#N/A</v>
      </c>
      <c r="AM17" s="88" t="e">
        <f t="shared" si="16"/>
        <v>#N/A</v>
      </c>
      <c r="AN17" s="88" t="e">
        <f t="shared" si="17"/>
        <v>#N/A</v>
      </c>
    </row>
    <row r="18" spans="1:40" x14ac:dyDescent="0.3">
      <c r="A18" s="24"/>
      <c r="B18" s="25" t="s">
        <v>117</v>
      </c>
      <c r="C18" s="26"/>
      <c r="D18" s="27"/>
      <c r="E18" s="82"/>
      <c r="F18" s="82"/>
      <c r="G18" s="89" t="e">
        <f>Wall!J27</f>
        <v>#N/A</v>
      </c>
      <c r="H18" s="89" t="e">
        <f>Wall!K27</f>
        <v>#N/A</v>
      </c>
      <c r="I18" s="89" t="e">
        <f>Wall!L27</f>
        <v>#N/A</v>
      </c>
      <c r="J18" s="89" t="e">
        <f>Wall!M27</f>
        <v>#N/A</v>
      </c>
      <c r="K18" s="89" t="e">
        <f>Wall!N27</f>
        <v>#N/A</v>
      </c>
      <c r="L18" s="89" t="e">
        <f>Wall!O27</f>
        <v>#N/A</v>
      </c>
      <c r="M18" s="89" t="e">
        <f>Wall!P27</f>
        <v>#N/A</v>
      </c>
      <c r="N18" s="89" t="e">
        <f>Wall!Q27</f>
        <v>#N/A</v>
      </c>
      <c r="O18" s="89" t="e">
        <f>Wall!R27</f>
        <v>#N/A</v>
      </c>
      <c r="P18" s="89" t="e">
        <f>Wall!S27</f>
        <v>#N/A</v>
      </c>
      <c r="Q18" s="89" t="e">
        <f>Wall!T27</f>
        <v>#N/A</v>
      </c>
      <c r="R18" s="89" t="e">
        <f>Wall!U27</f>
        <v>#N/A</v>
      </c>
      <c r="S18" s="89" t="e">
        <f>Wall!V27</f>
        <v>#N/A</v>
      </c>
      <c r="T18" s="89" t="e">
        <f>Wall!W27</f>
        <v>#N/A</v>
      </c>
      <c r="U18" s="89" t="e">
        <f>Wall!X27</f>
        <v>#N/A</v>
      </c>
      <c r="V18" s="89" t="e">
        <f>Wall!Y27</f>
        <v>#N/A</v>
      </c>
      <c r="W18" s="89" t="e">
        <f>Wall!Z27</f>
        <v>#N/A</v>
      </c>
      <c r="X18" s="88" t="e">
        <f t="shared" si="1"/>
        <v>#N/A</v>
      </c>
      <c r="Y18" s="88" t="e">
        <f t="shared" si="2"/>
        <v>#N/A</v>
      </c>
      <c r="Z18" s="88" t="e">
        <f t="shared" si="3"/>
        <v>#N/A</v>
      </c>
      <c r="AA18" s="88" t="e">
        <f t="shared" si="4"/>
        <v>#N/A</v>
      </c>
      <c r="AB18" s="88" t="e">
        <f t="shared" si="5"/>
        <v>#N/A</v>
      </c>
      <c r="AC18" s="88" t="e">
        <f t="shared" si="6"/>
        <v>#N/A</v>
      </c>
      <c r="AD18" s="88" t="e">
        <f t="shared" si="7"/>
        <v>#N/A</v>
      </c>
      <c r="AE18" s="88" t="e">
        <f t="shared" si="8"/>
        <v>#N/A</v>
      </c>
      <c r="AF18" s="88" t="e">
        <f t="shared" si="9"/>
        <v>#N/A</v>
      </c>
      <c r="AG18" s="88" t="e">
        <f t="shared" si="10"/>
        <v>#N/A</v>
      </c>
      <c r="AH18" s="88" t="e">
        <f t="shared" si="11"/>
        <v>#N/A</v>
      </c>
      <c r="AI18" s="88" t="e">
        <f t="shared" si="12"/>
        <v>#N/A</v>
      </c>
      <c r="AJ18" s="88" t="e">
        <f t="shared" si="13"/>
        <v>#N/A</v>
      </c>
      <c r="AK18" s="88" t="e">
        <f t="shared" si="14"/>
        <v>#N/A</v>
      </c>
      <c r="AL18" s="88" t="e">
        <f t="shared" si="15"/>
        <v>#N/A</v>
      </c>
      <c r="AM18" s="88" t="e">
        <f t="shared" si="16"/>
        <v>#N/A</v>
      </c>
      <c r="AN18" s="88" t="e">
        <f t="shared" si="17"/>
        <v>#N/A</v>
      </c>
    </row>
    <row r="19" spans="1:40" x14ac:dyDescent="0.3">
      <c r="A19" s="24"/>
      <c r="B19" s="25" t="s">
        <v>57</v>
      </c>
      <c r="C19" s="26"/>
      <c r="D19" s="27"/>
      <c r="E19" s="82"/>
      <c r="F19" s="82"/>
      <c r="G19" s="89" t="e">
        <f>Wall!J28</f>
        <v>#N/A</v>
      </c>
      <c r="H19" s="89" t="e">
        <f>Wall!K28</f>
        <v>#N/A</v>
      </c>
      <c r="I19" s="89" t="e">
        <f>Wall!L28</f>
        <v>#N/A</v>
      </c>
      <c r="J19" s="89" t="e">
        <f>Wall!M28</f>
        <v>#N/A</v>
      </c>
      <c r="K19" s="89" t="e">
        <f>Wall!N28</f>
        <v>#N/A</v>
      </c>
      <c r="L19" s="89" t="e">
        <f>Wall!O28</f>
        <v>#N/A</v>
      </c>
      <c r="M19" s="89" t="e">
        <f>Wall!P28</f>
        <v>#N/A</v>
      </c>
      <c r="N19" s="89" t="e">
        <f>Wall!Q28</f>
        <v>#N/A</v>
      </c>
      <c r="O19" s="89" t="e">
        <f>Wall!R28</f>
        <v>#N/A</v>
      </c>
      <c r="P19" s="89" t="e">
        <f>Wall!S28</f>
        <v>#N/A</v>
      </c>
      <c r="Q19" s="89" t="e">
        <f>Wall!T28</f>
        <v>#N/A</v>
      </c>
      <c r="R19" s="89" t="e">
        <f>Wall!U28</f>
        <v>#N/A</v>
      </c>
      <c r="S19" s="89" t="e">
        <f>Wall!V28</f>
        <v>#N/A</v>
      </c>
      <c r="T19" s="89" t="e">
        <f>Wall!W28</f>
        <v>#N/A</v>
      </c>
      <c r="U19" s="89" t="e">
        <f>Wall!X28</f>
        <v>#N/A</v>
      </c>
      <c r="V19" s="89" t="e">
        <f>Wall!Y28</f>
        <v>#N/A</v>
      </c>
      <c r="W19" s="89" t="e">
        <f>Wall!Z28</f>
        <v>#N/A</v>
      </c>
      <c r="X19" s="88" t="e">
        <f t="shared" si="1"/>
        <v>#N/A</v>
      </c>
      <c r="Y19" s="88" t="e">
        <f t="shared" si="2"/>
        <v>#N/A</v>
      </c>
      <c r="Z19" s="88" t="e">
        <f t="shared" si="3"/>
        <v>#N/A</v>
      </c>
      <c r="AA19" s="88" t="e">
        <f t="shared" si="4"/>
        <v>#N/A</v>
      </c>
      <c r="AB19" s="88" t="e">
        <f t="shared" si="5"/>
        <v>#N/A</v>
      </c>
      <c r="AC19" s="88" t="e">
        <f t="shared" si="6"/>
        <v>#N/A</v>
      </c>
      <c r="AD19" s="88" t="e">
        <f t="shared" si="7"/>
        <v>#N/A</v>
      </c>
      <c r="AE19" s="88" t="e">
        <f t="shared" si="8"/>
        <v>#N/A</v>
      </c>
      <c r="AF19" s="88" t="e">
        <f t="shared" si="9"/>
        <v>#N/A</v>
      </c>
      <c r="AG19" s="88" t="e">
        <f t="shared" si="10"/>
        <v>#N/A</v>
      </c>
      <c r="AH19" s="88" t="e">
        <f t="shared" si="11"/>
        <v>#N/A</v>
      </c>
      <c r="AI19" s="88" t="e">
        <f t="shared" si="12"/>
        <v>#N/A</v>
      </c>
      <c r="AJ19" s="88" t="e">
        <f t="shared" si="13"/>
        <v>#N/A</v>
      </c>
      <c r="AK19" s="88" t="e">
        <f t="shared" si="14"/>
        <v>#N/A</v>
      </c>
      <c r="AL19" s="88" t="e">
        <f t="shared" si="15"/>
        <v>#N/A</v>
      </c>
      <c r="AM19" s="88" t="e">
        <f t="shared" si="16"/>
        <v>#N/A</v>
      </c>
      <c r="AN19" s="88" t="e">
        <f t="shared" si="17"/>
        <v>#N/A</v>
      </c>
    </row>
    <row r="20" spans="1:40" x14ac:dyDescent="0.3">
      <c r="A20" s="24"/>
      <c r="B20" s="25" t="s">
        <v>118</v>
      </c>
      <c r="C20" s="26"/>
      <c r="D20" s="27"/>
      <c r="E20" s="82"/>
      <c r="F20" s="82"/>
      <c r="G20" s="89" t="e">
        <f>Wall!J29</f>
        <v>#N/A</v>
      </c>
      <c r="H20" s="89" t="e">
        <f>Wall!K29</f>
        <v>#N/A</v>
      </c>
      <c r="I20" s="89" t="e">
        <f>Wall!L29</f>
        <v>#N/A</v>
      </c>
      <c r="J20" s="89" t="e">
        <f>Wall!M29</f>
        <v>#N/A</v>
      </c>
      <c r="K20" s="89" t="e">
        <f>Wall!N29</f>
        <v>#N/A</v>
      </c>
      <c r="L20" s="89" t="e">
        <f>Wall!O29</f>
        <v>#N/A</v>
      </c>
      <c r="M20" s="89" t="e">
        <f>Wall!P29</f>
        <v>#N/A</v>
      </c>
      <c r="N20" s="89" t="e">
        <f>Wall!Q29</f>
        <v>#N/A</v>
      </c>
      <c r="O20" s="89" t="e">
        <f>Wall!R29</f>
        <v>#N/A</v>
      </c>
      <c r="P20" s="89" t="e">
        <f>Wall!S29</f>
        <v>#N/A</v>
      </c>
      <c r="Q20" s="89" t="e">
        <f>Wall!T29</f>
        <v>#N/A</v>
      </c>
      <c r="R20" s="89" t="e">
        <f>Wall!U29</f>
        <v>#N/A</v>
      </c>
      <c r="S20" s="89" t="e">
        <f>Wall!V29</f>
        <v>#N/A</v>
      </c>
      <c r="T20" s="89" t="e">
        <f>Wall!W29</f>
        <v>#N/A</v>
      </c>
      <c r="U20" s="89" t="e">
        <f>Wall!X29</f>
        <v>#N/A</v>
      </c>
      <c r="V20" s="89" t="e">
        <f>Wall!Y29</f>
        <v>#N/A</v>
      </c>
      <c r="W20" s="89" t="e">
        <f>Wall!Z29</f>
        <v>#N/A</v>
      </c>
      <c r="X20" s="88" t="e">
        <f t="shared" si="1"/>
        <v>#N/A</v>
      </c>
      <c r="Y20" s="88" t="e">
        <f t="shared" si="2"/>
        <v>#N/A</v>
      </c>
      <c r="Z20" s="88" t="e">
        <f t="shared" si="3"/>
        <v>#N/A</v>
      </c>
      <c r="AA20" s="88" t="e">
        <f t="shared" si="4"/>
        <v>#N/A</v>
      </c>
      <c r="AB20" s="88" t="e">
        <f t="shared" si="5"/>
        <v>#N/A</v>
      </c>
      <c r="AC20" s="88" t="e">
        <f t="shared" si="6"/>
        <v>#N/A</v>
      </c>
      <c r="AD20" s="88" t="e">
        <f t="shared" si="7"/>
        <v>#N/A</v>
      </c>
      <c r="AE20" s="88" t="e">
        <f t="shared" si="8"/>
        <v>#N/A</v>
      </c>
      <c r="AF20" s="88" t="e">
        <f t="shared" si="9"/>
        <v>#N/A</v>
      </c>
      <c r="AG20" s="88" t="e">
        <f t="shared" si="10"/>
        <v>#N/A</v>
      </c>
      <c r="AH20" s="88" t="e">
        <f t="shared" si="11"/>
        <v>#N/A</v>
      </c>
      <c r="AI20" s="88" t="e">
        <f t="shared" si="12"/>
        <v>#N/A</v>
      </c>
      <c r="AJ20" s="88" t="e">
        <f t="shared" si="13"/>
        <v>#N/A</v>
      </c>
      <c r="AK20" s="88" t="e">
        <f t="shared" si="14"/>
        <v>#N/A</v>
      </c>
      <c r="AL20" s="88" t="e">
        <f t="shared" si="15"/>
        <v>#N/A</v>
      </c>
      <c r="AM20" s="88" t="e">
        <f t="shared" si="16"/>
        <v>#N/A</v>
      </c>
      <c r="AN20" s="88" t="e">
        <f t="shared" si="17"/>
        <v>#N/A</v>
      </c>
    </row>
    <row r="21" spans="1:40" x14ac:dyDescent="0.3">
      <c r="A21" s="24"/>
      <c r="B21" s="25" t="s">
        <v>59</v>
      </c>
      <c r="C21" s="26"/>
      <c r="D21" s="27"/>
      <c r="E21" s="82"/>
      <c r="F21" s="82"/>
      <c r="G21" s="89" t="e">
        <f>Wall!J30</f>
        <v>#N/A</v>
      </c>
      <c r="H21" s="89" t="e">
        <f>Wall!K30</f>
        <v>#N/A</v>
      </c>
      <c r="I21" s="89" t="e">
        <f>Wall!L30</f>
        <v>#N/A</v>
      </c>
      <c r="J21" s="89" t="e">
        <f>Wall!M30</f>
        <v>#N/A</v>
      </c>
      <c r="K21" s="89" t="e">
        <f>Wall!N30</f>
        <v>#N/A</v>
      </c>
      <c r="L21" s="89" t="e">
        <f>Wall!O30</f>
        <v>#N/A</v>
      </c>
      <c r="M21" s="89" t="e">
        <f>Wall!P30</f>
        <v>#N/A</v>
      </c>
      <c r="N21" s="89" t="e">
        <f>Wall!Q30</f>
        <v>#N/A</v>
      </c>
      <c r="O21" s="89" t="e">
        <f>Wall!R30</f>
        <v>#N/A</v>
      </c>
      <c r="P21" s="89" t="e">
        <f>Wall!S30</f>
        <v>#N/A</v>
      </c>
      <c r="Q21" s="89" t="e">
        <f>Wall!T30</f>
        <v>#N/A</v>
      </c>
      <c r="R21" s="89" t="e">
        <f>Wall!U30</f>
        <v>#N/A</v>
      </c>
      <c r="S21" s="89" t="e">
        <f>Wall!V30</f>
        <v>#N/A</v>
      </c>
      <c r="T21" s="89" t="e">
        <f>Wall!W30</f>
        <v>#N/A</v>
      </c>
      <c r="U21" s="89" t="e">
        <f>Wall!X30</f>
        <v>#N/A</v>
      </c>
      <c r="V21" s="89" t="e">
        <f>Wall!Y30</f>
        <v>#N/A</v>
      </c>
      <c r="W21" s="89" t="e">
        <f>Wall!Z30</f>
        <v>#N/A</v>
      </c>
      <c r="X21" s="88" t="e">
        <f t="shared" si="1"/>
        <v>#N/A</v>
      </c>
      <c r="Y21" s="88" t="e">
        <f t="shared" si="2"/>
        <v>#N/A</v>
      </c>
      <c r="Z21" s="88" t="e">
        <f t="shared" si="3"/>
        <v>#N/A</v>
      </c>
      <c r="AA21" s="88" t="e">
        <f t="shared" si="4"/>
        <v>#N/A</v>
      </c>
      <c r="AB21" s="88" t="e">
        <f t="shared" si="5"/>
        <v>#N/A</v>
      </c>
      <c r="AC21" s="88" t="e">
        <f t="shared" si="6"/>
        <v>#N/A</v>
      </c>
      <c r="AD21" s="88" t="e">
        <f t="shared" si="7"/>
        <v>#N/A</v>
      </c>
      <c r="AE21" s="88" t="e">
        <f t="shared" si="8"/>
        <v>#N/A</v>
      </c>
      <c r="AF21" s="88" t="e">
        <f t="shared" si="9"/>
        <v>#N/A</v>
      </c>
      <c r="AG21" s="88" t="e">
        <f t="shared" si="10"/>
        <v>#N/A</v>
      </c>
      <c r="AH21" s="88" t="e">
        <f t="shared" si="11"/>
        <v>#N/A</v>
      </c>
      <c r="AI21" s="88" t="e">
        <f t="shared" si="12"/>
        <v>#N/A</v>
      </c>
      <c r="AJ21" s="88" t="e">
        <f t="shared" si="13"/>
        <v>#N/A</v>
      </c>
      <c r="AK21" s="88" t="e">
        <f t="shared" si="14"/>
        <v>#N/A</v>
      </c>
      <c r="AL21" s="88" t="e">
        <f t="shared" si="15"/>
        <v>#N/A</v>
      </c>
      <c r="AM21" s="88" t="e">
        <f t="shared" si="16"/>
        <v>#N/A</v>
      </c>
      <c r="AN21" s="88" t="e">
        <f t="shared" si="17"/>
        <v>#N/A</v>
      </c>
    </row>
    <row r="22" spans="1:40" x14ac:dyDescent="0.3">
      <c r="A22" s="24"/>
      <c r="B22" s="25" t="s">
        <v>119</v>
      </c>
      <c r="C22" s="26"/>
      <c r="D22" s="27"/>
      <c r="E22" s="82"/>
      <c r="F22" s="82"/>
      <c r="G22" s="89" t="e">
        <f>Wall!J31</f>
        <v>#N/A</v>
      </c>
      <c r="H22" s="89" t="e">
        <f>Wall!K31</f>
        <v>#N/A</v>
      </c>
      <c r="I22" s="89" t="e">
        <f>Wall!L31</f>
        <v>#N/A</v>
      </c>
      <c r="J22" s="89" t="e">
        <f>Wall!M31</f>
        <v>#N/A</v>
      </c>
      <c r="K22" s="89" t="e">
        <f>Wall!N31</f>
        <v>#N/A</v>
      </c>
      <c r="L22" s="89" t="e">
        <f>Wall!O31</f>
        <v>#N/A</v>
      </c>
      <c r="M22" s="89" t="e">
        <f>Wall!P31</f>
        <v>#N/A</v>
      </c>
      <c r="N22" s="89" t="e">
        <f>Wall!Q31</f>
        <v>#N/A</v>
      </c>
      <c r="O22" s="89" t="e">
        <f>Wall!R31</f>
        <v>#N/A</v>
      </c>
      <c r="P22" s="89" t="e">
        <f>Wall!S31</f>
        <v>#N/A</v>
      </c>
      <c r="Q22" s="89" t="e">
        <f>Wall!T31</f>
        <v>#N/A</v>
      </c>
      <c r="R22" s="89" t="e">
        <f>Wall!U31</f>
        <v>#N/A</v>
      </c>
      <c r="S22" s="89" t="e">
        <f>Wall!V31</f>
        <v>#N/A</v>
      </c>
      <c r="T22" s="89" t="e">
        <f>Wall!W31</f>
        <v>#N/A</v>
      </c>
      <c r="U22" s="89" t="e">
        <f>Wall!X31</f>
        <v>#N/A</v>
      </c>
      <c r="V22" s="89" t="e">
        <f>Wall!Y31</f>
        <v>#N/A</v>
      </c>
      <c r="W22" s="89" t="e">
        <f>Wall!Z31</f>
        <v>#N/A</v>
      </c>
      <c r="X22" s="88" t="e">
        <f t="shared" si="1"/>
        <v>#N/A</v>
      </c>
      <c r="Y22" s="88" t="e">
        <f t="shared" si="2"/>
        <v>#N/A</v>
      </c>
      <c r="Z22" s="88" t="e">
        <f t="shared" si="3"/>
        <v>#N/A</v>
      </c>
      <c r="AA22" s="88" t="e">
        <f t="shared" si="4"/>
        <v>#N/A</v>
      </c>
      <c r="AB22" s="88" t="e">
        <f t="shared" si="5"/>
        <v>#N/A</v>
      </c>
      <c r="AC22" s="88" t="e">
        <f t="shared" si="6"/>
        <v>#N/A</v>
      </c>
      <c r="AD22" s="88" t="e">
        <f t="shared" si="7"/>
        <v>#N/A</v>
      </c>
      <c r="AE22" s="88" t="e">
        <f t="shared" si="8"/>
        <v>#N/A</v>
      </c>
      <c r="AF22" s="88" t="e">
        <f t="shared" si="9"/>
        <v>#N/A</v>
      </c>
      <c r="AG22" s="88" t="e">
        <f t="shared" si="10"/>
        <v>#N/A</v>
      </c>
      <c r="AH22" s="88" t="e">
        <f t="shared" si="11"/>
        <v>#N/A</v>
      </c>
      <c r="AI22" s="88" t="e">
        <f t="shared" si="12"/>
        <v>#N/A</v>
      </c>
      <c r="AJ22" s="88" t="e">
        <f t="shared" si="13"/>
        <v>#N/A</v>
      </c>
      <c r="AK22" s="88" t="e">
        <f t="shared" si="14"/>
        <v>#N/A</v>
      </c>
      <c r="AL22" s="88" t="e">
        <f t="shared" si="15"/>
        <v>#N/A</v>
      </c>
      <c r="AM22" s="88" t="e">
        <f t="shared" si="16"/>
        <v>#N/A</v>
      </c>
      <c r="AN22" s="88" t="e">
        <f t="shared" si="17"/>
        <v>#N/A</v>
      </c>
    </row>
    <row r="23" spans="1:40" x14ac:dyDescent="0.3">
      <c r="A23" s="24"/>
      <c r="B23" s="25" t="s">
        <v>60</v>
      </c>
      <c r="C23" s="26"/>
      <c r="D23" s="27"/>
      <c r="E23" s="89"/>
      <c r="F23" s="89"/>
      <c r="G23" s="35" t="e">
        <f>Roof!G8</f>
        <v>#N/A</v>
      </c>
      <c r="H23" s="87" t="e">
        <f>Roof!H8</f>
        <v>#N/A</v>
      </c>
      <c r="I23" s="87" t="e">
        <f>Roof!I8</f>
        <v>#N/A</v>
      </c>
      <c r="J23" s="87" t="e">
        <f>Roof!J8</f>
        <v>#N/A</v>
      </c>
      <c r="K23" s="87" t="e">
        <f>Roof!K8</f>
        <v>#N/A</v>
      </c>
      <c r="L23" s="87" t="e">
        <f>Roof!L8</f>
        <v>#N/A</v>
      </c>
      <c r="M23" s="87" t="e">
        <f>Roof!M8</f>
        <v>#N/A</v>
      </c>
      <c r="N23" s="87" t="e">
        <f>Roof!N8</f>
        <v>#N/A</v>
      </c>
      <c r="O23" s="87" t="e">
        <f>Roof!O8</f>
        <v>#N/A</v>
      </c>
      <c r="P23" s="87" t="e">
        <f>Roof!P8</f>
        <v>#N/A</v>
      </c>
      <c r="Q23" s="87" t="e">
        <f>Roof!Q8</f>
        <v>#N/A</v>
      </c>
      <c r="R23" s="87" t="e">
        <f>Roof!R8</f>
        <v>#N/A</v>
      </c>
      <c r="S23" s="87" t="e">
        <f>Roof!S8</f>
        <v>#N/A</v>
      </c>
      <c r="T23" s="87" t="e">
        <f>Roof!T8</f>
        <v>#N/A</v>
      </c>
      <c r="U23" s="87" t="e">
        <f>Roof!U8</f>
        <v>#N/A</v>
      </c>
      <c r="V23" s="87" t="e">
        <f>Roof!V8</f>
        <v>#N/A</v>
      </c>
      <c r="W23" s="87" t="e">
        <f>Roof!W8</f>
        <v>#N/A</v>
      </c>
      <c r="X23" s="88" t="e">
        <f t="shared" si="1"/>
        <v>#N/A</v>
      </c>
      <c r="Y23" s="88" t="e">
        <f t="shared" si="2"/>
        <v>#N/A</v>
      </c>
      <c r="Z23" s="88" t="e">
        <f t="shared" si="3"/>
        <v>#N/A</v>
      </c>
      <c r="AA23" s="88" t="e">
        <f t="shared" si="4"/>
        <v>#N/A</v>
      </c>
      <c r="AB23" s="88" t="e">
        <f t="shared" si="5"/>
        <v>#N/A</v>
      </c>
      <c r="AC23" s="88" t="e">
        <f t="shared" si="6"/>
        <v>#N/A</v>
      </c>
      <c r="AD23" s="88" t="e">
        <f t="shared" si="7"/>
        <v>#N/A</v>
      </c>
      <c r="AE23" s="88" t="e">
        <f t="shared" si="8"/>
        <v>#N/A</v>
      </c>
      <c r="AF23" s="88" t="e">
        <f t="shared" si="9"/>
        <v>#N/A</v>
      </c>
      <c r="AG23" s="88" t="e">
        <f t="shared" si="10"/>
        <v>#N/A</v>
      </c>
      <c r="AH23" s="88" t="e">
        <f t="shared" si="11"/>
        <v>#N/A</v>
      </c>
      <c r="AI23" s="88" t="e">
        <f t="shared" si="12"/>
        <v>#N/A</v>
      </c>
      <c r="AJ23" s="88" t="e">
        <f t="shared" si="13"/>
        <v>#N/A</v>
      </c>
      <c r="AK23" s="88" t="e">
        <f t="shared" si="14"/>
        <v>#N/A</v>
      </c>
      <c r="AL23" s="88" t="e">
        <f t="shared" si="15"/>
        <v>#N/A</v>
      </c>
      <c r="AM23" s="88" t="e">
        <f t="shared" si="16"/>
        <v>#N/A</v>
      </c>
      <c r="AN23" s="88" t="e">
        <f t="shared" si="17"/>
        <v>#N/A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204" t="s">
        <v>62</v>
      </c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2"/>
      <c r="S24" s="202"/>
      <c r="T24" s="202"/>
      <c r="U24" s="202"/>
      <c r="V24" s="202"/>
      <c r="W24" s="203"/>
      <c r="X24" s="205" t="s">
        <v>63</v>
      </c>
      <c r="Y24" s="195"/>
      <c r="Z24" s="195"/>
      <c r="AA24" s="195"/>
      <c r="AB24" s="195"/>
      <c r="AC24" s="195"/>
      <c r="AD24" s="195"/>
      <c r="AE24" s="195"/>
      <c r="AF24" s="195"/>
      <c r="AG24" s="195"/>
      <c r="AH24" s="195"/>
      <c r="AI24" s="195"/>
      <c r="AJ24" s="204"/>
      <c r="AK24" s="204"/>
      <c r="AL24" s="204"/>
      <c r="AM24" s="204"/>
      <c r="AN24" s="206"/>
    </row>
    <row r="25" spans="1:40" x14ac:dyDescent="0.3">
      <c r="A25" s="24"/>
      <c r="B25" s="25" t="s">
        <v>64</v>
      </c>
      <c r="C25" s="26"/>
      <c r="D25" s="82"/>
      <c r="E25" s="82"/>
      <c r="F25" s="32">
        <f>$D$4</f>
        <v>26</v>
      </c>
      <c r="G25" s="32" t="e">
        <f>City_Details!N19</f>
        <v>#N/A</v>
      </c>
      <c r="H25" s="82" t="e">
        <f>City_Details!O19</f>
        <v>#N/A</v>
      </c>
      <c r="I25" s="82" t="e">
        <f>City_Details!P19</f>
        <v>#N/A</v>
      </c>
      <c r="J25" s="82" t="e">
        <f>City_Details!Q19</f>
        <v>#N/A</v>
      </c>
      <c r="K25" s="82" t="e">
        <f>City_Details!R19</f>
        <v>#N/A</v>
      </c>
      <c r="L25" s="82" t="e">
        <f>City_Details!S19</f>
        <v>#N/A</v>
      </c>
      <c r="M25" s="82" t="e">
        <f>City_Details!T19</f>
        <v>#N/A</v>
      </c>
      <c r="N25" s="82" t="e">
        <f>City_Details!U19</f>
        <v>#N/A</v>
      </c>
      <c r="O25" s="82" t="e">
        <f>City_Details!V19</f>
        <v>#N/A</v>
      </c>
      <c r="P25" s="82" t="e">
        <f>City_Details!W19</f>
        <v>#N/A</v>
      </c>
      <c r="Q25" s="82" t="e">
        <f>City_Details!X19</f>
        <v>#N/A</v>
      </c>
      <c r="R25" s="82" t="e">
        <f>City_Details!Y19</f>
        <v>#N/A</v>
      </c>
      <c r="S25" s="82" t="e">
        <f>City_Details!Z19</f>
        <v>#N/A</v>
      </c>
      <c r="T25" s="82" t="e">
        <f>City_Details!AA19</f>
        <v>#N/A</v>
      </c>
      <c r="U25" s="82" t="e">
        <f>City_Details!AB19</f>
        <v>#N/A</v>
      </c>
      <c r="V25" s="82" t="e">
        <f>City_Details!AC19</f>
        <v>#N/A</v>
      </c>
      <c r="W25" s="82" t="e">
        <f>City_Details!AD19</f>
        <v>#N/A</v>
      </c>
      <c r="X25" s="34" t="e">
        <f>$D$25*$E$25*(G25-$F$25)</f>
        <v>#N/A</v>
      </c>
      <c r="Y25" s="88" t="e">
        <f t="shared" ref="Y25:AN25" si="18">$D$25*$E$25*(H25-$F$25)</f>
        <v>#N/A</v>
      </c>
      <c r="Z25" s="88" t="e">
        <f t="shared" si="18"/>
        <v>#N/A</v>
      </c>
      <c r="AA25" s="88" t="e">
        <f t="shared" si="18"/>
        <v>#N/A</v>
      </c>
      <c r="AB25" s="88" t="e">
        <f t="shared" si="18"/>
        <v>#N/A</v>
      </c>
      <c r="AC25" s="88" t="e">
        <f t="shared" si="18"/>
        <v>#N/A</v>
      </c>
      <c r="AD25" s="88" t="e">
        <f t="shared" si="18"/>
        <v>#N/A</v>
      </c>
      <c r="AE25" s="88" t="e">
        <f t="shared" si="18"/>
        <v>#N/A</v>
      </c>
      <c r="AF25" s="88" t="e">
        <f t="shared" si="18"/>
        <v>#N/A</v>
      </c>
      <c r="AG25" s="88" t="e">
        <f t="shared" si="18"/>
        <v>#N/A</v>
      </c>
      <c r="AH25" s="88" t="e">
        <f t="shared" si="18"/>
        <v>#N/A</v>
      </c>
      <c r="AI25" s="88" t="e">
        <f t="shared" si="18"/>
        <v>#N/A</v>
      </c>
      <c r="AJ25" s="88" t="e">
        <f t="shared" si="18"/>
        <v>#N/A</v>
      </c>
      <c r="AK25" s="88" t="e">
        <f t="shared" si="18"/>
        <v>#N/A</v>
      </c>
      <c r="AL25" s="88" t="e">
        <f t="shared" si="18"/>
        <v>#N/A</v>
      </c>
      <c r="AM25" s="88" t="e">
        <f t="shared" si="18"/>
        <v>#N/A</v>
      </c>
      <c r="AN25" s="88" t="e">
        <f t="shared" si="18"/>
        <v>#N/A</v>
      </c>
    </row>
    <row r="26" spans="1:40" x14ac:dyDescent="0.3">
      <c r="A26" s="24"/>
      <c r="B26" s="25" t="s">
        <v>65</v>
      </c>
      <c r="C26" s="26"/>
      <c r="D26" s="102"/>
      <c r="E26" s="82"/>
      <c r="F26" s="33">
        <f>$D$4</f>
        <v>26</v>
      </c>
      <c r="G26" s="35" t="e">
        <f>G25</f>
        <v>#N/A</v>
      </c>
      <c r="H26" s="83" t="e">
        <f t="shared" ref="H26:W26" si="19">H25</f>
        <v>#N/A</v>
      </c>
      <c r="I26" s="83" t="e">
        <f t="shared" si="19"/>
        <v>#N/A</v>
      </c>
      <c r="J26" s="83" t="e">
        <f t="shared" si="19"/>
        <v>#N/A</v>
      </c>
      <c r="K26" s="83" t="e">
        <f t="shared" si="19"/>
        <v>#N/A</v>
      </c>
      <c r="L26" s="83" t="e">
        <f t="shared" si="19"/>
        <v>#N/A</v>
      </c>
      <c r="M26" s="83" t="e">
        <f t="shared" si="19"/>
        <v>#N/A</v>
      </c>
      <c r="N26" s="83" t="e">
        <f t="shared" si="19"/>
        <v>#N/A</v>
      </c>
      <c r="O26" s="83" t="e">
        <f t="shared" si="19"/>
        <v>#N/A</v>
      </c>
      <c r="P26" s="83" t="e">
        <f t="shared" si="19"/>
        <v>#N/A</v>
      </c>
      <c r="Q26" s="83" t="e">
        <f t="shared" si="19"/>
        <v>#N/A</v>
      </c>
      <c r="R26" s="83" t="e">
        <f t="shared" si="19"/>
        <v>#N/A</v>
      </c>
      <c r="S26" s="83" t="e">
        <f t="shared" si="19"/>
        <v>#N/A</v>
      </c>
      <c r="T26" s="83" t="e">
        <f t="shared" si="19"/>
        <v>#N/A</v>
      </c>
      <c r="U26" s="83" t="e">
        <f t="shared" si="19"/>
        <v>#N/A</v>
      </c>
      <c r="V26" s="83" t="e">
        <f t="shared" si="19"/>
        <v>#N/A</v>
      </c>
      <c r="W26" s="83" t="e">
        <f t="shared" si="19"/>
        <v>#N/A</v>
      </c>
      <c r="X26" s="88" t="e">
        <f>$D$26*$E$26*(G26-$F$26)</f>
        <v>#N/A</v>
      </c>
      <c r="Y26" s="88" t="e">
        <f t="shared" ref="Y26:AN26" si="20">$D$26*$E$26*(H26-$F$26)</f>
        <v>#N/A</v>
      </c>
      <c r="Z26" s="88" t="e">
        <f t="shared" si="20"/>
        <v>#N/A</v>
      </c>
      <c r="AA26" s="88" t="e">
        <f t="shared" si="20"/>
        <v>#N/A</v>
      </c>
      <c r="AB26" s="88" t="e">
        <f t="shared" si="20"/>
        <v>#N/A</v>
      </c>
      <c r="AC26" s="88" t="e">
        <f t="shared" si="20"/>
        <v>#N/A</v>
      </c>
      <c r="AD26" s="88" t="e">
        <f t="shared" si="20"/>
        <v>#N/A</v>
      </c>
      <c r="AE26" s="88" t="e">
        <f t="shared" si="20"/>
        <v>#N/A</v>
      </c>
      <c r="AF26" s="88" t="e">
        <f t="shared" si="20"/>
        <v>#N/A</v>
      </c>
      <c r="AG26" s="88" t="e">
        <f t="shared" si="20"/>
        <v>#N/A</v>
      </c>
      <c r="AH26" s="88" t="e">
        <f t="shared" si="20"/>
        <v>#N/A</v>
      </c>
      <c r="AI26" s="88" t="e">
        <f t="shared" si="20"/>
        <v>#N/A</v>
      </c>
      <c r="AJ26" s="88" t="e">
        <f t="shared" si="20"/>
        <v>#N/A</v>
      </c>
      <c r="AK26" s="88" t="e">
        <f t="shared" si="20"/>
        <v>#N/A</v>
      </c>
      <c r="AL26" s="88" t="e">
        <f t="shared" si="20"/>
        <v>#N/A</v>
      </c>
      <c r="AM26" s="88" t="e">
        <f t="shared" si="20"/>
        <v>#N/A</v>
      </c>
      <c r="AN26" s="88" t="e">
        <f t="shared" si="20"/>
        <v>#N/A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204" t="s">
        <v>62</v>
      </c>
      <c r="H29" s="202"/>
      <c r="I29" s="202"/>
      <c r="J29" s="202"/>
      <c r="K29" s="202"/>
      <c r="L29" s="202"/>
      <c r="M29" s="202"/>
      <c r="N29" s="202"/>
      <c r="O29" s="202"/>
      <c r="P29" s="202"/>
      <c r="Q29" s="202"/>
      <c r="R29" s="202"/>
      <c r="S29" s="202"/>
      <c r="T29" s="202"/>
      <c r="U29" s="202"/>
      <c r="V29" s="202"/>
      <c r="W29" s="203"/>
      <c r="X29" s="205" t="s">
        <v>63</v>
      </c>
      <c r="Y29" s="195"/>
      <c r="Z29" s="195"/>
      <c r="AA29" s="195"/>
      <c r="AB29" s="195"/>
      <c r="AC29" s="195"/>
      <c r="AD29" s="195"/>
      <c r="AE29" s="195"/>
      <c r="AF29" s="195"/>
      <c r="AG29" s="195"/>
      <c r="AH29" s="195"/>
      <c r="AI29" s="195"/>
      <c r="AJ29" s="204"/>
      <c r="AK29" s="204"/>
      <c r="AL29" s="204"/>
      <c r="AM29" s="204"/>
      <c r="AN29" s="206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/>
      <c r="E31" s="82"/>
      <c r="F31" s="33">
        <f>$D$4</f>
        <v>26</v>
      </c>
      <c r="G31" s="35" t="e">
        <f>G25</f>
        <v>#N/A</v>
      </c>
      <c r="H31" s="83" t="e">
        <f t="shared" ref="H31:W31" si="21">H25</f>
        <v>#N/A</v>
      </c>
      <c r="I31" s="83" t="e">
        <f t="shared" si="21"/>
        <v>#N/A</v>
      </c>
      <c r="J31" s="83" t="e">
        <f t="shared" si="21"/>
        <v>#N/A</v>
      </c>
      <c r="K31" s="83" t="e">
        <f t="shared" si="21"/>
        <v>#N/A</v>
      </c>
      <c r="L31" s="83" t="e">
        <f t="shared" si="21"/>
        <v>#N/A</v>
      </c>
      <c r="M31" s="83" t="e">
        <f t="shared" si="21"/>
        <v>#N/A</v>
      </c>
      <c r="N31" s="83" t="e">
        <f t="shared" si="21"/>
        <v>#N/A</v>
      </c>
      <c r="O31" s="83" t="e">
        <f t="shared" si="21"/>
        <v>#N/A</v>
      </c>
      <c r="P31" s="83" t="e">
        <f t="shared" si="21"/>
        <v>#N/A</v>
      </c>
      <c r="Q31" s="83" t="e">
        <f t="shared" si="21"/>
        <v>#N/A</v>
      </c>
      <c r="R31" s="83" t="e">
        <f t="shared" si="21"/>
        <v>#N/A</v>
      </c>
      <c r="S31" s="83" t="e">
        <f t="shared" si="21"/>
        <v>#N/A</v>
      </c>
      <c r="T31" s="83" t="e">
        <f t="shared" si="21"/>
        <v>#N/A</v>
      </c>
      <c r="U31" s="83" t="e">
        <f t="shared" si="21"/>
        <v>#N/A</v>
      </c>
      <c r="V31" s="83" t="e">
        <f t="shared" si="21"/>
        <v>#N/A</v>
      </c>
      <c r="W31" s="83" t="e">
        <f t="shared" si="21"/>
        <v>#N/A</v>
      </c>
      <c r="X31" s="34" t="e">
        <f>$D$31*$E$31*(G31-$F$31)</f>
        <v>#N/A</v>
      </c>
      <c r="Y31" s="88" t="e">
        <f t="shared" ref="Y31:AN31" si="22">$D$31*$E$31*(H31-$F$31)</f>
        <v>#N/A</v>
      </c>
      <c r="Z31" s="88" t="e">
        <f t="shared" si="22"/>
        <v>#N/A</v>
      </c>
      <c r="AA31" s="88" t="e">
        <f t="shared" si="22"/>
        <v>#N/A</v>
      </c>
      <c r="AB31" s="88" t="e">
        <f t="shared" si="22"/>
        <v>#N/A</v>
      </c>
      <c r="AC31" s="88" t="e">
        <f t="shared" si="22"/>
        <v>#N/A</v>
      </c>
      <c r="AD31" s="88" t="e">
        <f t="shared" si="22"/>
        <v>#N/A</v>
      </c>
      <c r="AE31" s="88" t="e">
        <f t="shared" si="22"/>
        <v>#N/A</v>
      </c>
      <c r="AF31" s="88" t="e">
        <f t="shared" si="22"/>
        <v>#N/A</v>
      </c>
      <c r="AG31" s="88" t="e">
        <f t="shared" si="22"/>
        <v>#N/A</v>
      </c>
      <c r="AH31" s="88" t="e">
        <f t="shared" si="22"/>
        <v>#N/A</v>
      </c>
      <c r="AI31" s="88" t="e">
        <f t="shared" si="22"/>
        <v>#N/A</v>
      </c>
      <c r="AJ31" s="88" t="e">
        <f t="shared" si="22"/>
        <v>#N/A</v>
      </c>
      <c r="AK31" s="88" t="e">
        <f t="shared" si="22"/>
        <v>#N/A</v>
      </c>
      <c r="AL31" s="88" t="e">
        <f t="shared" si="22"/>
        <v>#N/A</v>
      </c>
      <c r="AM31" s="88" t="e">
        <f t="shared" si="22"/>
        <v>#N/A</v>
      </c>
      <c r="AN31" s="88" t="e">
        <f t="shared" si="22"/>
        <v>#N/A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192</v>
      </c>
      <c r="E33" s="32" t="s">
        <v>189</v>
      </c>
      <c r="F33" s="32" t="s">
        <v>70</v>
      </c>
      <c r="G33" s="204" t="s">
        <v>79</v>
      </c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3"/>
      <c r="X33" s="205" t="s">
        <v>213</v>
      </c>
      <c r="Y33" s="195"/>
      <c r="Z33" s="195"/>
      <c r="AA33" s="195"/>
      <c r="AB33" s="195"/>
      <c r="AC33" s="195"/>
      <c r="AD33" s="195"/>
      <c r="AE33" s="195"/>
      <c r="AF33" s="195"/>
      <c r="AG33" s="195"/>
      <c r="AH33" s="195"/>
      <c r="AI33" s="195"/>
      <c r="AJ33" s="204"/>
      <c r="AK33" s="204"/>
      <c r="AL33" s="204"/>
      <c r="AM33" s="204"/>
      <c r="AN33" s="206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/>
      <c r="E35" s="32" t="e">
        <f>Window!G14</f>
        <v>#N/A</v>
      </c>
      <c r="F35" s="32"/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 t="e">
        <f>0.293071*$D35*$E35*$F35*G35</f>
        <v>#N/A</v>
      </c>
      <c r="Y35" s="84" t="e">
        <f t="shared" ref="Y35:AN35" si="23">0.293071*$D35*$E35*$F35*H35</f>
        <v>#N/A</v>
      </c>
      <c r="Z35" s="84" t="e">
        <f t="shared" si="23"/>
        <v>#N/A</v>
      </c>
      <c r="AA35" s="84" t="e">
        <f t="shared" si="23"/>
        <v>#N/A</v>
      </c>
      <c r="AB35" s="84" t="e">
        <f t="shared" si="23"/>
        <v>#N/A</v>
      </c>
      <c r="AC35" s="84" t="e">
        <f t="shared" si="23"/>
        <v>#N/A</v>
      </c>
      <c r="AD35" s="84" t="e">
        <f t="shared" si="23"/>
        <v>#N/A</v>
      </c>
      <c r="AE35" s="84" t="e">
        <f t="shared" si="23"/>
        <v>#N/A</v>
      </c>
      <c r="AF35" s="84" t="e">
        <f t="shared" si="23"/>
        <v>#N/A</v>
      </c>
      <c r="AG35" s="84" t="e">
        <f t="shared" si="23"/>
        <v>#N/A</v>
      </c>
      <c r="AH35" s="84" t="e">
        <f t="shared" si="23"/>
        <v>#N/A</v>
      </c>
      <c r="AI35" s="84" t="e">
        <f t="shared" si="23"/>
        <v>#N/A</v>
      </c>
      <c r="AJ35" s="84" t="e">
        <f t="shared" si="23"/>
        <v>#N/A</v>
      </c>
      <c r="AK35" s="84" t="e">
        <f t="shared" si="23"/>
        <v>#N/A</v>
      </c>
      <c r="AL35" s="84" t="e">
        <f t="shared" si="23"/>
        <v>#N/A</v>
      </c>
      <c r="AM35" s="84" t="e">
        <f t="shared" si="23"/>
        <v>#N/A</v>
      </c>
      <c r="AN35" s="84" t="e">
        <f t="shared" si="23"/>
        <v>#N/A</v>
      </c>
    </row>
    <row r="36" spans="1:40" x14ac:dyDescent="0.3">
      <c r="A36" s="24"/>
      <c r="B36" s="25" t="s">
        <v>121</v>
      </c>
      <c r="C36" s="26"/>
      <c r="D36" s="82"/>
      <c r="E36" s="82" t="e">
        <f>Window!G15</f>
        <v>#N/A</v>
      </c>
      <c r="F36" s="60"/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 t="e">
        <f t="shared" ref="X36:X42" si="24">0.293071*$D36*$E36*$F36*G36</f>
        <v>#N/A</v>
      </c>
      <c r="Y36" s="84" t="e">
        <f t="shared" ref="Y36:Y42" si="25">0.293071*$D36*$E36*$F36*H36</f>
        <v>#N/A</v>
      </c>
      <c r="Z36" s="84" t="e">
        <f t="shared" ref="Z36:Z42" si="26">0.293071*$D36*$E36*$F36*I36</f>
        <v>#N/A</v>
      </c>
      <c r="AA36" s="84" t="e">
        <f t="shared" ref="AA36:AA42" si="27">0.293071*$D36*$E36*$F36*J36</f>
        <v>#N/A</v>
      </c>
      <c r="AB36" s="84" t="e">
        <f t="shared" ref="AB36:AB42" si="28">0.293071*$D36*$E36*$F36*K36</f>
        <v>#N/A</v>
      </c>
      <c r="AC36" s="84" t="e">
        <f t="shared" ref="AC36:AC42" si="29">0.293071*$D36*$E36*$F36*L36</f>
        <v>#N/A</v>
      </c>
      <c r="AD36" s="84" t="e">
        <f t="shared" ref="AD36:AD42" si="30">0.293071*$D36*$E36*$F36*M36</f>
        <v>#N/A</v>
      </c>
      <c r="AE36" s="84" t="e">
        <f t="shared" ref="AE36:AE42" si="31">0.293071*$D36*$E36*$F36*N36</f>
        <v>#N/A</v>
      </c>
      <c r="AF36" s="84" t="e">
        <f t="shared" ref="AF36:AF42" si="32">0.293071*$D36*$E36*$F36*O36</f>
        <v>#N/A</v>
      </c>
      <c r="AG36" s="84" t="e">
        <f t="shared" ref="AG36:AG42" si="33">0.293071*$D36*$E36*$F36*P36</f>
        <v>#N/A</v>
      </c>
      <c r="AH36" s="84" t="e">
        <f t="shared" ref="AH36:AH42" si="34">0.293071*$D36*$E36*$F36*Q36</f>
        <v>#N/A</v>
      </c>
      <c r="AI36" s="84" t="e">
        <f t="shared" ref="AI36:AI42" si="35">0.293071*$D36*$E36*$F36*R36</f>
        <v>#N/A</v>
      </c>
      <c r="AJ36" s="84" t="e">
        <f t="shared" ref="AJ36:AJ42" si="36">0.293071*$D36*$E36*$F36*S36</f>
        <v>#N/A</v>
      </c>
      <c r="AK36" s="84" t="e">
        <f t="shared" ref="AK36:AK42" si="37">0.293071*$D36*$E36*$F36*T36</f>
        <v>#N/A</v>
      </c>
      <c r="AL36" s="84" t="e">
        <f t="shared" ref="AL36:AL42" si="38">0.293071*$D36*$E36*$F36*U36</f>
        <v>#N/A</v>
      </c>
      <c r="AM36" s="84" t="e">
        <f t="shared" ref="AM36:AM42" si="39">0.293071*$D36*$E36*$F36*V36</f>
        <v>#N/A</v>
      </c>
      <c r="AN36" s="84" t="e">
        <f t="shared" ref="AN36:AN42" si="40">0.293071*$D36*$E36*$F36*W36</f>
        <v>#N/A</v>
      </c>
    </row>
    <row r="37" spans="1:40" x14ac:dyDescent="0.3">
      <c r="A37" s="24"/>
      <c r="B37" s="25" t="s">
        <v>122</v>
      </c>
      <c r="C37" s="26"/>
      <c r="D37" s="82"/>
      <c r="E37" s="82" t="e">
        <f>Window!G16</f>
        <v>#N/A</v>
      </c>
      <c r="F37" s="60"/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 t="e">
        <f t="shared" si="24"/>
        <v>#N/A</v>
      </c>
      <c r="Y37" s="84" t="e">
        <f t="shared" si="25"/>
        <v>#N/A</v>
      </c>
      <c r="Z37" s="84" t="e">
        <f t="shared" si="26"/>
        <v>#N/A</v>
      </c>
      <c r="AA37" s="84" t="e">
        <f t="shared" si="27"/>
        <v>#N/A</v>
      </c>
      <c r="AB37" s="84" t="e">
        <f t="shared" si="28"/>
        <v>#N/A</v>
      </c>
      <c r="AC37" s="84" t="e">
        <f t="shared" si="29"/>
        <v>#N/A</v>
      </c>
      <c r="AD37" s="84" t="e">
        <f t="shared" si="30"/>
        <v>#N/A</v>
      </c>
      <c r="AE37" s="84" t="e">
        <f t="shared" si="31"/>
        <v>#N/A</v>
      </c>
      <c r="AF37" s="84" t="e">
        <f t="shared" si="32"/>
        <v>#N/A</v>
      </c>
      <c r="AG37" s="84" t="e">
        <f t="shared" si="33"/>
        <v>#N/A</v>
      </c>
      <c r="AH37" s="84" t="e">
        <f t="shared" si="34"/>
        <v>#N/A</v>
      </c>
      <c r="AI37" s="84" t="e">
        <f t="shared" si="35"/>
        <v>#N/A</v>
      </c>
      <c r="AJ37" s="84" t="e">
        <f t="shared" si="36"/>
        <v>#N/A</v>
      </c>
      <c r="AK37" s="84" t="e">
        <f t="shared" si="37"/>
        <v>#N/A</v>
      </c>
      <c r="AL37" s="84" t="e">
        <f t="shared" si="38"/>
        <v>#N/A</v>
      </c>
      <c r="AM37" s="84" t="e">
        <f t="shared" si="39"/>
        <v>#N/A</v>
      </c>
      <c r="AN37" s="84" t="e">
        <f t="shared" si="40"/>
        <v>#N/A</v>
      </c>
    </row>
    <row r="38" spans="1:40" x14ac:dyDescent="0.3">
      <c r="A38" s="24"/>
      <c r="B38" s="25" t="s">
        <v>123</v>
      </c>
      <c r="C38" s="26"/>
      <c r="D38" s="82"/>
      <c r="E38" s="82" t="e">
        <f>Window!G17</f>
        <v>#N/A</v>
      </c>
      <c r="F38" s="60"/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 t="e">
        <f t="shared" si="24"/>
        <v>#N/A</v>
      </c>
      <c r="Y38" s="84" t="e">
        <f t="shared" si="25"/>
        <v>#N/A</v>
      </c>
      <c r="Z38" s="84" t="e">
        <f t="shared" si="26"/>
        <v>#N/A</v>
      </c>
      <c r="AA38" s="84" t="e">
        <f t="shared" si="27"/>
        <v>#N/A</v>
      </c>
      <c r="AB38" s="84" t="e">
        <f t="shared" si="28"/>
        <v>#N/A</v>
      </c>
      <c r="AC38" s="84" t="e">
        <f t="shared" si="29"/>
        <v>#N/A</v>
      </c>
      <c r="AD38" s="84" t="e">
        <f t="shared" si="30"/>
        <v>#N/A</v>
      </c>
      <c r="AE38" s="84" t="e">
        <f t="shared" si="31"/>
        <v>#N/A</v>
      </c>
      <c r="AF38" s="84" t="e">
        <f t="shared" si="32"/>
        <v>#N/A</v>
      </c>
      <c r="AG38" s="84" t="e">
        <f t="shared" si="33"/>
        <v>#N/A</v>
      </c>
      <c r="AH38" s="84" t="e">
        <f t="shared" si="34"/>
        <v>#N/A</v>
      </c>
      <c r="AI38" s="84" t="e">
        <f t="shared" si="35"/>
        <v>#N/A</v>
      </c>
      <c r="AJ38" s="84" t="e">
        <f t="shared" si="36"/>
        <v>#N/A</v>
      </c>
      <c r="AK38" s="84" t="e">
        <f t="shared" si="37"/>
        <v>#N/A</v>
      </c>
      <c r="AL38" s="84" t="e">
        <f t="shared" si="38"/>
        <v>#N/A</v>
      </c>
      <c r="AM38" s="84" t="e">
        <f t="shared" si="39"/>
        <v>#N/A</v>
      </c>
      <c r="AN38" s="84" t="e">
        <f t="shared" si="40"/>
        <v>#N/A</v>
      </c>
    </row>
    <row r="39" spans="1:40" x14ac:dyDescent="0.3">
      <c r="A39" s="24"/>
      <c r="B39" s="25" t="s">
        <v>124</v>
      </c>
      <c r="C39" s="26"/>
      <c r="D39" s="82"/>
      <c r="E39" s="82" t="e">
        <f>Window!G18</f>
        <v>#N/A</v>
      </c>
      <c r="F39" s="60"/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 t="e">
        <f t="shared" si="24"/>
        <v>#N/A</v>
      </c>
      <c r="Y39" s="84" t="e">
        <f t="shared" si="25"/>
        <v>#N/A</v>
      </c>
      <c r="Z39" s="84" t="e">
        <f t="shared" si="26"/>
        <v>#N/A</v>
      </c>
      <c r="AA39" s="84" t="e">
        <f t="shared" si="27"/>
        <v>#N/A</v>
      </c>
      <c r="AB39" s="84" t="e">
        <f t="shared" si="28"/>
        <v>#N/A</v>
      </c>
      <c r="AC39" s="84" t="e">
        <f t="shared" si="29"/>
        <v>#N/A</v>
      </c>
      <c r="AD39" s="84" t="e">
        <f t="shared" si="30"/>
        <v>#N/A</v>
      </c>
      <c r="AE39" s="84" t="e">
        <f t="shared" si="31"/>
        <v>#N/A</v>
      </c>
      <c r="AF39" s="84" t="e">
        <f t="shared" si="32"/>
        <v>#N/A</v>
      </c>
      <c r="AG39" s="84" t="e">
        <f t="shared" si="33"/>
        <v>#N/A</v>
      </c>
      <c r="AH39" s="84" t="e">
        <f t="shared" si="34"/>
        <v>#N/A</v>
      </c>
      <c r="AI39" s="84" t="e">
        <f t="shared" si="35"/>
        <v>#N/A</v>
      </c>
      <c r="AJ39" s="84" t="e">
        <f t="shared" si="36"/>
        <v>#N/A</v>
      </c>
      <c r="AK39" s="84" t="e">
        <f t="shared" si="37"/>
        <v>#N/A</v>
      </c>
      <c r="AL39" s="84" t="e">
        <f t="shared" si="38"/>
        <v>#N/A</v>
      </c>
      <c r="AM39" s="84" t="e">
        <f t="shared" si="39"/>
        <v>#N/A</v>
      </c>
      <c r="AN39" s="84" t="e">
        <f t="shared" si="40"/>
        <v>#N/A</v>
      </c>
    </row>
    <row r="40" spans="1:40" x14ac:dyDescent="0.3">
      <c r="A40" s="24"/>
      <c r="B40" s="25" t="s">
        <v>125</v>
      </c>
      <c r="C40" s="26"/>
      <c r="D40" s="82"/>
      <c r="E40" s="82" t="e">
        <f>Window!G19</f>
        <v>#N/A</v>
      </c>
      <c r="F40" s="32"/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 t="e">
        <f t="shared" si="24"/>
        <v>#N/A</v>
      </c>
      <c r="Y40" s="84" t="e">
        <f t="shared" si="25"/>
        <v>#N/A</v>
      </c>
      <c r="Z40" s="84" t="e">
        <f t="shared" si="26"/>
        <v>#N/A</v>
      </c>
      <c r="AA40" s="84" t="e">
        <f t="shared" si="27"/>
        <v>#N/A</v>
      </c>
      <c r="AB40" s="84" t="e">
        <f t="shared" si="28"/>
        <v>#N/A</v>
      </c>
      <c r="AC40" s="84" t="e">
        <f t="shared" si="29"/>
        <v>#N/A</v>
      </c>
      <c r="AD40" s="84" t="e">
        <f t="shared" si="30"/>
        <v>#N/A</v>
      </c>
      <c r="AE40" s="84" t="e">
        <f t="shared" si="31"/>
        <v>#N/A</v>
      </c>
      <c r="AF40" s="84" t="e">
        <f t="shared" si="32"/>
        <v>#N/A</v>
      </c>
      <c r="AG40" s="84" t="e">
        <f t="shared" si="33"/>
        <v>#N/A</v>
      </c>
      <c r="AH40" s="84" t="e">
        <f t="shared" si="34"/>
        <v>#N/A</v>
      </c>
      <c r="AI40" s="84" t="e">
        <f t="shared" si="35"/>
        <v>#N/A</v>
      </c>
      <c r="AJ40" s="84" t="e">
        <f t="shared" si="36"/>
        <v>#N/A</v>
      </c>
      <c r="AK40" s="84" t="e">
        <f t="shared" si="37"/>
        <v>#N/A</v>
      </c>
      <c r="AL40" s="84" t="e">
        <f t="shared" si="38"/>
        <v>#N/A</v>
      </c>
      <c r="AM40" s="84" t="e">
        <f t="shared" si="39"/>
        <v>#N/A</v>
      </c>
      <c r="AN40" s="84" t="e">
        <f t="shared" si="40"/>
        <v>#N/A</v>
      </c>
    </row>
    <row r="41" spans="1:40" x14ac:dyDescent="0.3">
      <c r="A41" s="24"/>
      <c r="B41" s="25" t="s">
        <v>126</v>
      </c>
      <c r="C41" s="26"/>
      <c r="D41" s="82"/>
      <c r="E41" s="82" t="e">
        <f>Window!G20</f>
        <v>#N/A</v>
      </c>
      <c r="F41" s="32"/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 t="e">
        <f t="shared" si="24"/>
        <v>#N/A</v>
      </c>
      <c r="Y41" s="84" t="e">
        <f t="shared" si="25"/>
        <v>#N/A</v>
      </c>
      <c r="Z41" s="84" t="e">
        <f t="shared" si="26"/>
        <v>#N/A</v>
      </c>
      <c r="AA41" s="84" t="e">
        <f t="shared" si="27"/>
        <v>#N/A</v>
      </c>
      <c r="AB41" s="84" t="e">
        <f t="shared" si="28"/>
        <v>#N/A</v>
      </c>
      <c r="AC41" s="84" t="e">
        <f t="shared" si="29"/>
        <v>#N/A</v>
      </c>
      <c r="AD41" s="84" t="e">
        <f t="shared" si="30"/>
        <v>#N/A</v>
      </c>
      <c r="AE41" s="84" t="e">
        <f t="shared" si="31"/>
        <v>#N/A</v>
      </c>
      <c r="AF41" s="84" t="e">
        <f t="shared" si="32"/>
        <v>#N/A</v>
      </c>
      <c r="AG41" s="84" t="e">
        <f t="shared" si="33"/>
        <v>#N/A</v>
      </c>
      <c r="AH41" s="84" t="e">
        <f t="shared" si="34"/>
        <v>#N/A</v>
      </c>
      <c r="AI41" s="84" t="e">
        <f t="shared" si="35"/>
        <v>#N/A</v>
      </c>
      <c r="AJ41" s="84" t="e">
        <f t="shared" si="36"/>
        <v>#N/A</v>
      </c>
      <c r="AK41" s="84" t="e">
        <f t="shared" si="37"/>
        <v>#N/A</v>
      </c>
      <c r="AL41" s="84" t="e">
        <f t="shared" si="38"/>
        <v>#N/A</v>
      </c>
      <c r="AM41" s="84" t="e">
        <f t="shared" si="39"/>
        <v>#N/A</v>
      </c>
      <c r="AN41" s="84" t="e">
        <f t="shared" si="40"/>
        <v>#N/A</v>
      </c>
    </row>
    <row r="42" spans="1:40" x14ac:dyDescent="0.3">
      <c r="A42" s="24"/>
      <c r="B42" s="25" t="s">
        <v>127</v>
      </c>
      <c r="C42" s="26"/>
      <c r="D42" s="82"/>
      <c r="E42" s="82" t="e">
        <f>Window!G21</f>
        <v>#N/A</v>
      </c>
      <c r="F42" s="32"/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 t="e">
        <f t="shared" si="24"/>
        <v>#N/A</v>
      </c>
      <c r="Y42" s="84" t="e">
        <f t="shared" si="25"/>
        <v>#N/A</v>
      </c>
      <c r="Z42" s="84" t="e">
        <f t="shared" si="26"/>
        <v>#N/A</v>
      </c>
      <c r="AA42" s="84" t="e">
        <f t="shared" si="27"/>
        <v>#N/A</v>
      </c>
      <c r="AB42" s="84" t="e">
        <f t="shared" si="28"/>
        <v>#N/A</v>
      </c>
      <c r="AC42" s="84" t="e">
        <f t="shared" si="29"/>
        <v>#N/A</v>
      </c>
      <c r="AD42" s="84" t="e">
        <f t="shared" si="30"/>
        <v>#N/A</v>
      </c>
      <c r="AE42" s="84" t="e">
        <f t="shared" si="31"/>
        <v>#N/A</v>
      </c>
      <c r="AF42" s="84" t="e">
        <f t="shared" si="32"/>
        <v>#N/A</v>
      </c>
      <c r="AG42" s="84" t="e">
        <f t="shared" si="33"/>
        <v>#N/A</v>
      </c>
      <c r="AH42" s="84" t="e">
        <f t="shared" si="34"/>
        <v>#N/A</v>
      </c>
      <c r="AI42" s="84" t="e">
        <f t="shared" si="35"/>
        <v>#N/A</v>
      </c>
      <c r="AJ42" s="84" t="e">
        <f t="shared" si="36"/>
        <v>#N/A</v>
      </c>
      <c r="AK42" s="84" t="e">
        <f t="shared" si="37"/>
        <v>#N/A</v>
      </c>
      <c r="AL42" s="84" t="e">
        <f t="shared" si="38"/>
        <v>#N/A</v>
      </c>
      <c r="AM42" s="84" t="e">
        <f t="shared" si="39"/>
        <v>#N/A</v>
      </c>
      <c r="AN42" s="84" t="e">
        <f t="shared" si="40"/>
        <v>#N/A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204" t="s">
        <v>62</v>
      </c>
      <c r="H43" s="202"/>
      <c r="I43" s="202"/>
      <c r="J43" s="202"/>
      <c r="K43" s="202"/>
      <c r="L43" s="202"/>
      <c r="M43" s="202"/>
      <c r="N43" s="202"/>
      <c r="O43" s="202"/>
      <c r="P43" s="202"/>
      <c r="Q43" s="202"/>
      <c r="R43" s="202"/>
      <c r="S43" s="202"/>
      <c r="T43" s="202"/>
      <c r="U43" s="202"/>
      <c r="V43" s="202"/>
      <c r="W43" s="203"/>
      <c r="X43" s="205" t="s">
        <v>214</v>
      </c>
      <c r="Y43" s="195"/>
      <c r="Z43" s="195"/>
      <c r="AA43" s="195"/>
      <c r="AB43" s="195"/>
      <c r="AC43" s="195"/>
      <c r="AD43" s="195"/>
      <c r="AE43" s="195"/>
      <c r="AF43" s="195"/>
      <c r="AG43" s="195"/>
      <c r="AH43" s="195"/>
      <c r="AI43" s="195"/>
      <c r="AJ43" s="204"/>
      <c r="AK43" s="204"/>
      <c r="AL43" s="204"/>
      <c r="AM43" s="204"/>
      <c r="AN43" s="206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0</v>
      </c>
      <c r="F44" s="33">
        <f>$D$4</f>
        <v>26</v>
      </c>
      <c r="G44" s="32" t="e">
        <f>G25</f>
        <v>#N/A</v>
      </c>
      <c r="H44" s="82" t="e">
        <f t="shared" ref="H44:W44" si="41">H25</f>
        <v>#N/A</v>
      </c>
      <c r="I44" s="82" t="e">
        <f t="shared" si="41"/>
        <v>#N/A</v>
      </c>
      <c r="J44" s="82" t="e">
        <f t="shared" si="41"/>
        <v>#N/A</v>
      </c>
      <c r="K44" s="82" t="e">
        <f t="shared" si="41"/>
        <v>#N/A</v>
      </c>
      <c r="L44" s="82" t="e">
        <f t="shared" si="41"/>
        <v>#N/A</v>
      </c>
      <c r="M44" s="82" t="e">
        <f t="shared" si="41"/>
        <v>#N/A</v>
      </c>
      <c r="N44" s="82" t="e">
        <f t="shared" si="41"/>
        <v>#N/A</v>
      </c>
      <c r="O44" s="82" t="e">
        <f t="shared" si="41"/>
        <v>#N/A</v>
      </c>
      <c r="P44" s="82" t="e">
        <f t="shared" si="41"/>
        <v>#N/A</v>
      </c>
      <c r="Q44" s="82" t="e">
        <f t="shared" si="41"/>
        <v>#N/A</v>
      </c>
      <c r="R44" s="82" t="e">
        <f t="shared" si="41"/>
        <v>#N/A</v>
      </c>
      <c r="S44" s="82" t="e">
        <f t="shared" si="41"/>
        <v>#N/A</v>
      </c>
      <c r="T44" s="82" t="e">
        <f t="shared" si="41"/>
        <v>#N/A</v>
      </c>
      <c r="U44" s="82" t="e">
        <f t="shared" si="41"/>
        <v>#N/A</v>
      </c>
      <c r="V44" s="82" t="e">
        <f t="shared" si="41"/>
        <v>#N/A</v>
      </c>
      <c r="W44" s="82" t="e">
        <f t="shared" si="41"/>
        <v>#N/A</v>
      </c>
      <c r="X44" s="34" t="e">
        <f>0.293071*$D$44*$E$44*1.8*(G44-$F$44)</f>
        <v>#N/A</v>
      </c>
      <c r="Y44" s="103" t="e">
        <f t="shared" ref="Y44:AN44" si="42">0.293071*$D$44*$E$44*1.8*(H44-$F$44)</f>
        <v>#N/A</v>
      </c>
      <c r="Z44" s="103" t="e">
        <f t="shared" si="42"/>
        <v>#N/A</v>
      </c>
      <c r="AA44" s="103" t="e">
        <f t="shared" si="42"/>
        <v>#N/A</v>
      </c>
      <c r="AB44" s="103" t="e">
        <f t="shared" si="42"/>
        <v>#N/A</v>
      </c>
      <c r="AC44" s="103" t="e">
        <f t="shared" si="42"/>
        <v>#N/A</v>
      </c>
      <c r="AD44" s="103" t="e">
        <f t="shared" si="42"/>
        <v>#N/A</v>
      </c>
      <c r="AE44" s="103" t="e">
        <f t="shared" si="42"/>
        <v>#N/A</v>
      </c>
      <c r="AF44" s="103" t="e">
        <f t="shared" si="42"/>
        <v>#N/A</v>
      </c>
      <c r="AG44" s="103" t="e">
        <f t="shared" si="42"/>
        <v>#N/A</v>
      </c>
      <c r="AH44" s="103" t="e">
        <f t="shared" si="42"/>
        <v>#N/A</v>
      </c>
      <c r="AI44" s="103" t="e">
        <f t="shared" si="42"/>
        <v>#N/A</v>
      </c>
      <c r="AJ44" s="103" t="e">
        <f t="shared" si="42"/>
        <v>#N/A</v>
      </c>
      <c r="AK44" s="103" t="e">
        <f t="shared" si="42"/>
        <v>#N/A</v>
      </c>
      <c r="AL44" s="103" t="e">
        <f t="shared" si="42"/>
        <v>#N/A</v>
      </c>
      <c r="AM44" s="103" t="e">
        <f t="shared" si="42"/>
        <v>#N/A</v>
      </c>
      <c r="AN44" s="103" t="e">
        <f t="shared" si="42"/>
        <v>#N/A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204" t="s">
        <v>107</v>
      </c>
      <c r="H47" s="202"/>
      <c r="I47" s="202"/>
      <c r="J47" s="202"/>
      <c r="K47" s="202"/>
      <c r="L47" s="202"/>
      <c r="M47" s="202"/>
      <c r="N47" s="202"/>
      <c r="O47" s="202"/>
      <c r="P47" s="202"/>
      <c r="Q47" s="202"/>
      <c r="R47" s="202"/>
      <c r="S47" s="202"/>
      <c r="T47" s="202"/>
      <c r="U47" s="202"/>
      <c r="V47" s="202"/>
      <c r="W47" s="203"/>
      <c r="X47" s="205" t="s">
        <v>112</v>
      </c>
      <c r="Y47" s="195"/>
      <c r="Z47" s="195"/>
      <c r="AA47" s="195"/>
      <c r="AB47" s="195"/>
      <c r="AC47" s="195"/>
      <c r="AD47" s="195"/>
      <c r="AE47" s="195"/>
      <c r="AF47" s="195"/>
      <c r="AG47" s="195"/>
      <c r="AH47" s="195"/>
      <c r="AI47" s="195"/>
      <c r="AJ47" s="204"/>
      <c r="AK47" s="204"/>
      <c r="AL47" s="204"/>
      <c r="AM47" s="204"/>
      <c r="AN47" s="206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0</v>
      </c>
      <c r="G48" s="32" t="e">
        <f>([1]!humidratio(G31,$D$8,3,$D$7,TRUE))-([1]!humidratio($D$4,$D$8,3,$D$5,TRUE))</f>
        <v>#VALUE!</v>
      </c>
      <c r="H48" s="33" t="e">
        <f>([1]!humidratio(H31,$D$8,3,$D$7,TRUE))-([1]!humidratio($D$4,$D$8,3,$D$5,TRUE))</f>
        <v>#VALUE!</v>
      </c>
      <c r="I48" s="33" t="e">
        <f>([1]!humidratio(I31,$D$8,3,$D$7,TRUE))-([1]!humidratio($D$4,$D$8,3,$D$5,TRUE))</f>
        <v>#VALUE!</v>
      </c>
      <c r="J48" s="33" t="e">
        <f>([1]!humidratio(J31,$D$8,3,$D$7,TRUE))-([1]!humidratio($D$4,$D$8,3,$D$5,TRUE))</f>
        <v>#VALUE!</v>
      </c>
      <c r="K48" s="33" t="e">
        <f>([1]!humidratio(K31,$D$8,3,$D$7,TRUE))-([1]!humidratio($D$4,$D$8,3,$D$5,TRUE))</f>
        <v>#VALUE!</v>
      </c>
      <c r="L48" s="33" t="e">
        <f>([1]!humidratio(L31,$D$8,3,$D$7,TRUE))-([1]!humidratio($D$4,$D$8,3,$D$5,TRUE))</f>
        <v>#VALUE!</v>
      </c>
      <c r="M48" s="33" t="e">
        <f>([1]!humidratio(M31,$D$8,3,$D$7,TRUE))-([1]!humidratio($D$4,$D$8,3,$D$5,TRUE))</f>
        <v>#VALUE!</v>
      </c>
      <c r="N48" s="33" t="e">
        <f>([1]!humidratio(N31,$D$8,3,$D$7,TRUE))-([1]!humidratio($D$4,$D$8,3,$D$5,TRUE))</f>
        <v>#VALUE!</v>
      </c>
      <c r="O48" s="33" t="e">
        <f>([1]!humidratio(O31,$D$8,3,$D$7,TRUE))-([1]!humidratio($D$4,$D$8,3,$D$5,TRUE))</f>
        <v>#VALUE!</v>
      </c>
      <c r="P48" s="33" t="e">
        <f>([1]!humidratio(P31,$D$8,3,$D$7,TRUE))-([1]!humidratio($D$4,$D$8,3,$D$5,TRUE))</f>
        <v>#VALUE!</v>
      </c>
      <c r="Q48" s="33" t="e">
        <f>([1]!humidratio(Q31,$D$8,3,$D$7,TRUE))-([1]!humidratio($D$4,$D$8,3,$D$5,TRUE))</f>
        <v>#VALUE!</v>
      </c>
      <c r="R48" s="33" t="e">
        <f>([1]!humidratio(R31,$D$8,3,$D$7,TRUE))-([1]!humidratio($D$4,$D$8,3,$D$5,TRUE))</f>
        <v>#VALUE!</v>
      </c>
      <c r="S48" s="33" t="e">
        <f>([1]!humidratio(S31,$D$8,3,$D$7,TRUE))-([1]!humidratio($D$4,$D$8,3,$D$5,TRUE))</f>
        <v>#VALUE!</v>
      </c>
      <c r="T48" s="33" t="e">
        <f>([1]!humidratio(T31,$D$8,3,$D$7,TRUE))-([1]!humidratio($D$4,$D$8,3,$D$5,TRUE))</f>
        <v>#VALUE!</v>
      </c>
      <c r="U48" s="33" t="e">
        <f>([1]!humidratio(U31,$D$8,3,$D$7,TRUE))-([1]!humidratio($D$4,$D$8,3,$D$5,TRUE))</f>
        <v>#VALUE!</v>
      </c>
      <c r="V48" s="33" t="e">
        <f>([1]!humidratio(V31,$D$8,3,$D$7,TRUE))-([1]!humidratio($D$4,$D$8,3,$D$5,TRUE))</f>
        <v>#VALUE!</v>
      </c>
      <c r="W48" s="33" t="e">
        <f>([1]!humidratio(W31,$D$8,3,$D$7,TRUE))-([1]!humidratio($D$4,$D$8,3,$D$5,TRUE))</f>
        <v>#VALUE!</v>
      </c>
      <c r="X48" s="34" t="e">
        <f>IF(0.293071*$E$48*$F$48*G48&gt;=0,0.293071*$E$48*$F$48*G48,-1*(0.293071*$E$48*$F$48*G48))</f>
        <v>#VALUE!</v>
      </c>
      <c r="Y48" s="103" t="e">
        <f t="shared" ref="Y48:AN48" si="43">IF(0.293071*$E$48*$F$48*H48&gt;=0,0.293071*$E$48*$F$48*H48,-1*(0.293071*$E$48*$F$48*H48))</f>
        <v>#VALUE!</v>
      </c>
      <c r="Z48" s="103" t="e">
        <f t="shared" si="43"/>
        <v>#VALUE!</v>
      </c>
      <c r="AA48" s="103" t="e">
        <f t="shared" si="43"/>
        <v>#VALUE!</v>
      </c>
      <c r="AB48" s="103" t="e">
        <f t="shared" si="43"/>
        <v>#VALUE!</v>
      </c>
      <c r="AC48" s="103" t="e">
        <f t="shared" si="43"/>
        <v>#VALUE!</v>
      </c>
      <c r="AD48" s="103" t="e">
        <f t="shared" si="43"/>
        <v>#VALUE!</v>
      </c>
      <c r="AE48" s="103" t="e">
        <f t="shared" si="43"/>
        <v>#VALUE!</v>
      </c>
      <c r="AF48" s="103" t="e">
        <f t="shared" si="43"/>
        <v>#VALUE!</v>
      </c>
      <c r="AG48" s="103" t="e">
        <f t="shared" si="43"/>
        <v>#VALUE!</v>
      </c>
      <c r="AH48" s="103" t="e">
        <f t="shared" si="43"/>
        <v>#VALUE!</v>
      </c>
      <c r="AI48" s="103" t="e">
        <f t="shared" si="43"/>
        <v>#VALUE!</v>
      </c>
      <c r="AJ48" s="103" t="e">
        <f t="shared" si="43"/>
        <v>#VALUE!</v>
      </c>
      <c r="AK48" s="103" t="e">
        <f t="shared" si="43"/>
        <v>#VALUE!</v>
      </c>
      <c r="AL48" s="103" t="e">
        <f t="shared" si="43"/>
        <v>#VALUE!</v>
      </c>
      <c r="AM48" s="103" t="e">
        <f t="shared" si="43"/>
        <v>#VALUE!</v>
      </c>
      <c r="AN48" s="103" t="e">
        <f t="shared" si="43"/>
        <v>#VALUE!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204" t="s">
        <v>79</v>
      </c>
      <c r="H52" s="202"/>
      <c r="I52" s="202"/>
      <c r="J52" s="202"/>
      <c r="K52" s="202"/>
      <c r="L52" s="202"/>
      <c r="M52" s="202"/>
      <c r="N52" s="202"/>
      <c r="O52" s="202"/>
      <c r="P52" s="202"/>
      <c r="Q52" s="202"/>
      <c r="R52" s="202"/>
      <c r="S52" s="202"/>
      <c r="T52" s="202"/>
      <c r="U52" s="202"/>
      <c r="V52" s="202"/>
      <c r="W52" s="203"/>
      <c r="X52" s="205" t="s">
        <v>114</v>
      </c>
      <c r="Y52" s="195"/>
      <c r="Z52" s="195"/>
      <c r="AA52" s="195"/>
      <c r="AB52" s="195"/>
      <c r="AC52" s="195"/>
      <c r="AD52" s="195"/>
      <c r="AE52" s="195"/>
      <c r="AF52" s="195"/>
      <c r="AG52" s="195"/>
      <c r="AH52" s="195"/>
      <c r="AI52" s="195"/>
      <c r="AJ52" s="204"/>
      <c r="AK52" s="204"/>
      <c r="AL52" s="204"/>
      <c r="AM52" s="204"/>
      <c r="AN52" s="206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0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0</v>
      </c>
      <c r="Y53" s="61">
        <f t="shared" ref="Y53:AN53" si="44">$D$53*$E$53*$F$53*H53</f>
        <v>0</v>
      </c>
      <c r="Z53" s="61">
        <f t="shared" si="44"/>
        <v>0</v>
      </c>
      <c r="AA53" s="61">
        <f t="shared" si="44"/>
        <v>0</v>
      </c>
      <c r="AB53" s="61">
        <f t="shared" si="44"/>
        <v>0</v>
      </c>
      <c r="AC53" s="61">
        <f t="shared" si="44"/>
        <v>0</v>
      </c>
      <c r="AD53" s="61">
        <f t="shared" si="44"/>
        <v>0</v>
      </c>
      <c r="AE53" s="61">
        <f t="shared" si="44"/>
        <v>0</v>
      </c>
      <c r="AF53" s="61">
        <f t="shared" si="44"/>
        <v>0</v>
      </c>
      <c r="AG53" s="61">
        <f t="shared" si="44"/>
        <v>0</v>
      </c>
      <c r="AH53" s="61">
        <f t="shared" si="44"/>
        <v>0</v>
      </c>
      <c r="AI53" s="61">
        <f t="shared" si="44"/>
        <v>0</v>
      </c>
      <c r="AJ53" s="61">
        <f t="shared" si="44"/>
        <v>0</v>
      </c>
      <c r="AK53" s="61">
        <f t="shared" si="44"/>
        <v>0</v>
      </c>
      <c r="AL53" s="61">
        <f t="shared" si="44"/>
        <v>0</v>
      </c>
      <c r="AM53" s="61">
        <f t="shared" si="44"/>
        <v>0</v>
      </c>
      <c r="AN53" s="61">
        <f t="shared" si="44"/>
        <v>0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204" t="s">
        <v>79</v>
      </c>
      <c r="H54" s="202"/>
      <c r="I54" s="202"/>
      <c r="J54" s="202"/>
      <c r="K54" s="202"/>
      <c r="L54" s="202"/>
      <c r="M54" s="202"/>
      <c r="N54" s="202"/>
      <c r="O54" s="202"/>
      <c r="P54" s="202"/>
      <c r="Q54" s="202"/>
      <c r="R54" s="202"/>
      <c r="S54" s="202"/>
      <c r="T54" s="202"/>
      <c r="U54" s="202"/>
      <c r="V54" s="202"/>
      <c r="W54" s="203"/>
      <c r="X54" s="205" t="s">
        <v>85</v>
      </c>
      <c r="Y54" s="195"/>
      <c r="Z54" s="195"/>
      <c r="AA54" s="195"/>
      <c r="AB54" s="195"/>
      <c r="AC54" s="195"/>
      <c r="AD54" s="195"/>
      <c r="AE54" s="195"/>
      <c r="AF54" s="195"/>
      <c r="AG54" s="195"/>
      <c r="AH54" s="195"/>
      <c r="AI54" s="195"/>
      <c r="AJ54" s="204"/>
      <c r="AK54" s="204"/>
      <c r="AL54" s="204"/>
      <c r="AM54" s="204"/>
      <c r="AN54" s="206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0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0</v>
      </c>
      <c r="Y55" s="103">
        <f t="shared" ref="Y55:AN55" si="45">$C$55*$D$55*$E$55*$F$55*H55</f>
        <v>0</v>
      </c>
      <c r="Z55" s="103">
        <f t="shared" si="45"/>
        <v>0</v>
      </c>
      <c r="AA55" s="103">
        <f t="shared" si="45"/>
        <v>0</v>
      </c>
      <c r="AB55" s="103">
        <f t="shared" si="45"/>
        <v>0</v>
      </c>
      <c r="AC55" s="103">
        <f t="shared" si="45"/>
        <v>0</v>
      </c>
      <c r="AD55" s="103">
        <f t="shared" si="45"/>
        <v>0</v>
      </c>
      <c r="AE55" s="103">
        <f t="shared" si="45"/>
        <v>0</v>
      </c>
      <c r="AF55" s="103">
        <f t="shared" si="45"/>
        <v>0</v>
      </c>
      <c r="AG55" s="103">
        <f t="shared" si="45"/>
        <v>0</v>
      </c>
      <c r="AH55" s="103">
        <f t="shared" si="45"/>
        <v>0</v>
      </c>
      <c r="AI55" s="103">
        <f t="shared" si="45"/>
        <v>0</v>
      </c>
      <c r="AJ55" s="103">
        <f t="shared" si="45"/>
        <v>0</v>
      </c>
      <c r="AK55" s="103">
        <f t="shared" si="45"/>
        <v>0</v>
      </c>
      <c r="AL55" s="103">
        <f t="shared" si="45"/>
        <v>0</v>
      </c>
      <c r="AM55" s="103">
        <f t="shared" si="45"/>
        <v>0</v>
      </c>
      <c r="AN55" s="103">
        <f t="shared" si="45"/>
        <v>0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09" t="s">
        <v>115</v>
      </c>
      <c r="Y57" s="195"/>
      <c r="Z57" s="195"/>
      <c r="AA57" s="195"/>
      <c r="AB57" s="195"/>
      <c r="AC57" s="195"/>
      <c r="AD57" s="195"/>
      <c r="AE57" s="195"/>
      <c r="AF57" s="195"/>
      <c r="AG57" s="195"/>
      <c r="AH57" s="195"/>
      <c r="AI57" s="195"/>
      <c r="AJ57" s="204"/>
      <c r="AK57" s="204"/>
      <c r="AL57" s="204"/>
      <c r="AM57" s="204"/>
      <c r="AN57" s="206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0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0</v>
      </c>
      <c r="Y58" s="61">
        <f t="shared" ref="Y58:AN58" si="46">$I$58*$J$58*$K$58</f>
        <v>0</v>
      </c>
      <c r="Z58" s="61">
        <f t="shared" si="46"/>
        <v>0</v>
      </c>
      <c r="AA58" s="61">
        <f t="shared" si="46"/>
        <v>0</v>
      </c>
      <c r="AB58" s="61">
        <f t="shared" si="46"/>
        <v>0</v>
      </c>
      <c r="AC58" s="61">
        <f t="shared" si="46"/>
        <v>0</v>
      </c>
      <c r="AD58" s="61">
        <f t="shared" si="46"/>
        <v>0</v>
      </c>
      <c r="AE58" s="61">
        <f t="shared" si="46"/>
        <v>0</v>
      </c>
      <c r="AF58" s="61">
        <f t="shared" si="46"/>
        <v>0</v>
      </c>
      <c r="AG58" s="61">
        <f t="shared" si="46"/>
        <v>0</v>
      </c>
      <c r="AH58" s="61">
        <f t="shared" si="46"/>
        <v>0</v>
      </c>
      <c r="AI58" s="61">
        <f t="shared" si="46"/>
        <v>0</v>
      </c>
      <c r="AJ58" s="61">
        <f t="shared" si="46"/>
        <v>0</v>
      </c>
      <c r="AK58" s="61">
        <f t="shared" si="46"/>
        <v>0</v>
      </c>
      <c r="AL58" s="61">
        <f t="shared" si="46"/>
        <v>0</v>
      </c>
      <c r="AM58" s="61">
        <f t="shared" si="46"/>
        <v>0</v>
      </c>
      <c r="AN58" s="61">
        <f t="shared" si="46"/>
        <v>0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 t="e">
        <f>SUM(X15:X23,X25:X26,X31,X35:X42,X44)</f>
        <v>#N/A</v>
      </c>
      <c r="Y60" s="52" t="e">
        <f t="shared" ref="Y60:AN60" si="47">SUM(Y15:Y23,Y25:Y26,Y31,Y35:Y42,Y44)</f>
        <v>#N/A</v>
      </c>
      <c r="Z60" s="52" t="e">
        <f t="shared" si="47"/>
        <v>#N/A</v>
      </c>
      <c r="AA60" s="52" t="e">
        <f t="shared" si="47"/>
        <v>#N/A</v>
      </c>
      <c r="AB60" s="52" t="e">
        <f t="shared" si="47"/>
        <v>#N/A</v>
      </c>
      <c r="AC60" s="52" t="e">
        <f t="shared" si="47"/>
        <v>#N/A</v>
      </c>
      <c r="AD60" s="52" t="e">
        <f t="shared" si="47"/>
        <v>#N/A</v>
      </c>
      <c r="AE60" s="52" t="e">
        <f t="shared" si="47"/>
        <v>#N/A</v>
      </c>
      <c r="AF60" s="52" t="e">
        <f t="shared" si="47"/>
        <v>#N/A</v>
      </c>
      <c r="AG60" s="52" t="e">
        <f t="shared" si="47"/>
        <v>#N/A</v>
      </c>
      <c r="AH60" s="52" t="e">
        <f t="shared" si="47"/>
        <v>#N/A</v>
      </c>
      <c r="AI60" s="52" t="e">
        <f t="shared" si="47"/>
        <v>#N/A</v>
      </c>
      <c r="AJ60" s="52" t="e">
        <f t="shared" si="47"/>
        <v>#N/A</v>
      </c>
      <c r="AK60" s="52" t="e">
        <f t="shared" si="47"/>
        <v>#N/A</v>
      </c>
      <c r="AL60" s="52" t="e">
        <f t="shared" si="47"/>
        <v>#N/A</v>
      </c>
      <c r="AM60" s="52" t="e">
        <f t="shared" si="47"/>
        <v>#N/A</v>
      </c>
      <c r="AN60" s="129" t="e">
        <f t="shared" si="47"/>
        <v>#N/A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0</v>
      </c>
      <c r="Y62" s="52">
        <f t="shared" ref="Y62:AN62" si="48">SUM(Y53,Y55)</f>
        <v>0</v>
      </c>
      <c r="Z62" s="52">
        <f t="shared" si="48"/>
        <v>0</v>
      </c>
      <c r="AA62" s="52">
        <f t="shared" si="48"/>
        <v>0</v>
      </c>
      <c r="AB62" s="52">
        <f t="shared" si="48"/>
        <v>0</v>
      </c>
      <c r="AC62" s="52">
        <f t="shared" si="48"/>
        <v>0</v>
      </c>
      <c r="AD62" s="52">
        <f t="shared" si="48"/>
        <v>0</v>
      </c>
      <c r="AE62" s="52">
        <f t="shared" si="48"/>
        <v>0</v>
      </c>
      <c r="AF62" s="52">
        <f t="shared" si="48"/>
        <v>0</v>
      </c>
      <c r="AG62" s="52">
        <f t="shared" si="48"/>
        <v>0</v>
      </c>
      <c r="AH62" s="52">
        <f t="shared" si="48"/>
        <v>0</v>
      </c>
      <c r="AI62" s="52">
        <f t="shared" si="48"/>
        <v>0</v>
      </c>
      <c r="AJ62" s="52">
        <f t="shared" si="48"/>
        <v>0</v>
      </c>
      <c r="AK62" s="52">
        <f t="shared" si="48"/>
        <v>0</v>
      </c>
      <c r="AL62" s="52">
        <f t="shared" si="48"/>
        <v>0</v>
      </c>
      <c r="AM62" s="52">
        <f t="shared" si="48"/>
        <v>0</v>
      </c>
      <c r="AN62" s="129">
        <f t="shared" si="48"/>
        <v>0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 t="e">
        <f>X60+X62</f>
        <v>#N/A</v>
      </c>
      <c r="Y64" s="52" t="e">
        <f t="shared" ref="Y64:AN64" si="49">Y60+Y62</f>
        <v>#N/A</v>
      </c>
      <c r="Z64" s="52" t="e">
        <f t="shared" si="49"/>
        <v>#N/A</v>
      </c>
      <c r="AA64" s="52" t="e">
        <f t="shared" si="49"/>
        <v>#N/A</v>
      </c>
      <c r="AB64" s="52" t="e">
        <f t="shared" si="49"/>
        <v>#N/A</v>
      </c>
      <c r="AC64" s="52" t="e">
        <f t="shared" si="49"/>
        <v>#N/A</v>
      </c>
      <c r="AD64" s="52" t="e">
        <f t="shared" si="49"/>
        <v>#N/A</v>
      </c>
      <c r="AE64" s="52" t="e">
        <f t="shared" si="49"/>
        <v>#N/A</v>
      </c>
      <c r="AF64" s="52" t="e">
        <f t="shared" si="49"/>
        <v>#N/A</v>
      </c>
      <c r="AG64" s="52" t="e">
        <f t="shared" si="49"/>
        <v>#N/A</v>
      </c>
      <c r="AH64" s="52" t="e">
        <f t="shared" si="49"/>
        <v>#N/A</v>
      </c>
      <c r="AI64" s="52" t="e">
        <f t="shared" si="49"/>
        <v>#N/A</v>
      </c>
      <c r="AJ64" s="52" t="e">
        <f t="shared" si="49"/>
        <v>#N/A</v>
      </c>
      <c r="AK64" s="52" t="e">
        <f t="shared" si="49"/>
        <v>#N/A</v>
      </c>
      <c r="AL64" s="52" t="e">
        <f t="shared" si="49"/>
        <v>#N/A</v>
      </c>
      <c r="AM64" s="52" t="e">
        <f t="shared" si="49"/>
        <v>#N/A</v>
      </c>
      <c r="AN64" s="129" t="e">
        <f t="shared" si="49"/>
        <v>#N/A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 t="e">
        <f>X48</f>
        <v>#VALUE!</v>
      </c>
      <c r="Y66" s="52" t="e">
        <f t="shared" ref="Y66:AN66" si="50">Y48</f>
        <v>#VALUE!</v>
      </c>
      <c r="Z66" s="52" t="e">
        <f t="shared" si="50"/>
        <v>#VALUE!</v>
      </c>
      <c r="AA66" s="52" t="e">
        <f t="shared" si="50"/>
        <v>#VALUE!</v>
      </c>
      <c r="AB66" s="52" t="e">
        <f t="shared" si="50"/>
        <v>#VALUE!</v>
      </c>
      <c r="AC66" s="52" t="e">
        <f t="shared" si="50"/>
        <v>#VALUE!</v>
      </c>
      <c r="AD66" s="52" t="e">
        <f t="shared" si="50"/>
        <v>#VALUE!</v>
      </c>
      <c r="AE66" s="52" t="e">
        <f t="shared" si="50"/>
        <v>#VALUE!</v>
      </c>
      <c r="AF66" s="52" t="e">
        <f t="shared" si="50"/>
        <v>#VALUE!</v>
      </c>
      <c r="AG66" s="52" t="e">
        <f t="shared" si="50"/>
        <v>#VALUE!</v>
      </c>
      <c r="AH66" s="52" t="e">
        <f t="shared" si="50"/>
        <v>#VALUE!</v>
      </c>
      <c r="AI66" s="52" t="e">
        <f t="shared" si="50"/>
        <v>#VALUE!</v>
      </c>
      <c r="AJ66" s="52" t="e">
        <f t="shared" si="50"/>
        <v>#VALUE!</v>
      </c>
      <c r="AK66" s="52" t="e">
        <f t="shared" si="50"/>
        <v>#VALUE!</v>
      </c>
      <c r="AL66" s="52" t="e">
        <f t="shared" si="50"/>
        <v>#VALUE!</v>
      </c>
      <c r="AM66" s="52" t="e">
        <f t="shared" si="50"/>
        <v>#VALUE!</v>
      </c>
      <c r="AN66" s="129" t="e">
        <f t="shared" si="50"/>
        <v>#VALUE!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0</v>
      </c>
      <c r="Y68" s="52">
        <f t="shared" ref="Y68:AN68" si="51">Y58</f>
        <v>0</v>
      </c>
      <c r="Z68" s="52">
        <f t="shared" si="51"/>
        <v>0</v>
      </c>
      <c r="AA68" s="52">
        <f t="shared" si="51"/>
        <v>0</v>
      </c>
      <c r="AB68" s="52">
        <f t="shared" si="51"/>
        <v>0</v>
      </c>
      <c r="AC68" s="52">
        <f t="shared" si="51"/>
        <v>0</v>
      </c>
      <c r="AD68" s="52">
        <f t="shared" si="51"/>
        <v>0</v>
      </c>
      <c r="AE68" s="52">
        <f t="shared" si="51"/>
        <v>0</v>
      </c>
      <c r="AF68" s="52">
        <f t="shared" si="51"/>
        <v>0</v>
      </c>
      <c r="AG68" s="52">
        <f t="shared" si="51"/>
        <v>0</v>
      </c>
      <c r="AH68" s="52">
        <f t="shared" si="51"/>
        <v>0</v>
      </c>
      <c r="AI68" s="52">
        <f t="shared" si="51"/>
        <v>0</v>
      </c>
      <c r="AJ68" s="52">
        <f t="shared" si="51"/>
        <v>0</v>
      </c>
      <c r="AK68" s="52">
        <f t="shared" si="51"/>
        <v>0</v>
      </c>
      <c r="AL68" s="52">
        <f t="shared" si="51"/>
        <v>0</v>
      </c>
      <c r="AM68" s="52">
        <f t="shared" si="51"/>
        <v>0</v>
      </c>
      <c r="AN68" s="129">
        <f t="shared" si="51"/>
        <v>0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 t="e">
        <f>X66+X68</f>
        <v>#VALUE!</v>
      </c>
      <c r="Y70" s="52" t="e">
        <f t="shared" ref="Y70:AN70" si="52">Y66+Y68</f>
        <v>#VALUE!</v>
      </c>
      <c r="Z70" s="52" t="e">
        <f t="shared" si="52"/>
        <v>#VALUE!</v>
      </c>
      <c r="AA70" s="52" t="e">
        <f t="shared" si="52"/>
        <v>#VALUE!</v>
      </c>
      <c r="AB70" s="52" t="e">
        <f t="shared" si="52"/>
        <v>#VALUE!</v>
      </c>
      <c r="AC70" s="52" t="e">
        <f t="shared" si="52"/>
        <v>#VALUE!</v>
      </c>
      <c r="AD70" s="52" t="e">
        <f t="shared" si="52"/>
        <v>#VALUE!</v>
      </c>
      <c r="AE70" s="52" t="e">
        <f t="shared" si="52"/>
        <v>#VALUE!</v>
      </c>
      <c r="AF70" s="52" t="e">
        <f t="shared" si="52"/>
        <v>#VALUE!</v>
      </c>
      <c r="AG70" s="52" t="e">
        <f t="shared" si="52"/>
        <v>#VALUE!</v>
      </c>
      <c r="AH70" s="52" t="e">
        <f t="shared" si="52"/>
        <v>#VALUE!</v>
      </c>
      <c r="AI70" s="52" t="e">
        <f t="shared" si="52"/>
        <v>#VALUE!</v>
      </c>
      <c r="AJ70" s="52" t="e">
        <f t="shared" si="52"/>
        <v>#VALUE!</v>
      </c>
      <c r="AK70" s="52" t="e">
        <f t="shared" si="52"/>
        <v>#VALUE!</v>
      </c>
      <c r="AL70" s="52" t="e">
        <f t="shared" si="52"/>
        <v>#VALUE!</v>
      </c>
      <c r="AM70" s="52" t="e">
        <f t="shared" si="52"/>
        <v>#VALUE!</v>
      </c>
      <c r="AN70" s="129" t="e">
        <f t="shared" si="52"/>
        <v>#VALUE!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 t="e">
        <f>X64+X70</f>
        <v>#N/A</v>
      </c>
      <c r="Y72" s="52" t="e">
        <f t="shared" ref="Y72:AN72" si="53">Y64+Y70</f>
        <v>#N/A</v>
      </c>
      <c r="Z72" s="52" t="e">
        <f t="shared" si="53"/>
        <v>#N/A</v>
      </c>
      <c r="AA72" s="52" t="e">
        <f t="shared" si="53"/>
        <v>#N/A</v>
      </c>
      <c r="AB72" s="52" t="e">
        <f t="shared" si="53"/>
        <v>#N/A</v>
      </c>
      <c r="AC72" s="52" t="e">
        <f t="shared" si="53"/>
        <v>#N/A</v>
      </c>
      <c r="AD72" s="52" t="e">
        <f t="shared" si="53"/>
        <v>#N/A</v>
      </c>
      <c r="AE72" s="52" t="e">
        <f t="shared" si="53"/>
        <v>#N/A</v>
      </c>
      <c r="AF72" s="52" t="e">
        <f t="shared" si="53"/>
        <v>#N/A</v>
      </c>
      <c r="AG72" s="52" t="e">
        <f t="shared" si="53"/>
        <v>#N/A</v>
      </c>
      <c r="AH72" s="52" t="e">
        <f t="shared" si="53"/>
        <v>#N/A</v>
      </c>
      <c r="AI72" s="52" t="e">
        <f t="shared" si="53"/>
        <v>#N/A</v>
      </c>
      <c r="AJ72" s="52" t="e">
        <f t="shared" si="53"/>
        <v>#N/A</v>
      </c>
      <c r="AK72" s="52" t="e">
        <f t="shared" si="53"/>
        <v>#N/A</v>
      </c>
      <c r="AL72" s="52" t="e">
        <f t="shared" si="53"/>
        <v>#N/A</v>
      </c>
      <c r="AM72" s="52" t="e">
        <f t="shared" si="53"/>
        <v>#N/A</v>
      </c>
      <c r="AN72" s="129" t="e">
        <f t="shared" si="53"/>
        <v>#N/A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 t="e">
        <f>X64/X72</f>
        <v>#N/A</v>
      </c>
      <c r="Y74" s="52" t="e">
        <f t="shared" ref="Y74:AN74" si="54">Y64/Y72</f>
        <v>#N/A</v>
      </c>
      <c r="Z74" s="52" t="e">
        <f t="shared" si="54"/>
        <v>#N/A</v>
      </c>
      <c r="AA74" s="52" t="e">
        <f t="shared" si="54"/>
        <v>#N/A</v>
      </c>
      <c r="AB74" s="52" t="e">
        <f t="shared" si="54"/>
        <v>#N/A</v>
      </c>
      <c r="AC74" s="52" t="e">
        <f t="shared" si="54"/>
        <v>#N/A</v>
      </c>
      <c r="AD74" s="52" t="e">
        <f t="shared" si="54"/>
        <v>#N/A</v>
      </c>
      <c r="AE74" s="52" t="e">
        <f t="shared" si="54"/>
        <v>#N/A</v>
      </c>
      <c r="AF74" s="52" t="e">
        <f t="shared" si="54"/>
        <v>#N/A</v>
      </c>
      <c r="AG74" s="52" t="e">
        <f t="shared" si="54"/>
        <v>#N/A</v>
      </c>
      <c r="AH74" s="52" t="e">
        <f t="shared" si="54"/>
        <v>#N/A</v>
      </c>
      <c r="AI74" s="52" t="e">
        <f t="shared" si="54"/>
        <v>#N/A</v>
      </c>
      <c r="AJ74" s="52" t="e">
        <f t="shared" si="54"/>
        <v>#N/A</v>
      </c>
      <c r="AK74" s="52" t="e">
        <f t="shared" si="54"/>
        <v>#N/A</v>
      </c>
      <c r="AL74" s="52" t="e">
        <f t="shared" si="54"/>
        <v>#N/A</v>
      </c>
      <c r="AM74" s="52" t="e">
        <f t="shared" si="54"/>
        <v>#N/A</v>
      </c>
      <c r="AN74" s="129" t="e">
        <f t="shared" si="54"/>
        <v>#N/A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215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 t="e">
        <f>IF(X72&gt;0,X72,0)</f>
        <v>#N/A</v>
      </c>
      <c r="Y76" s="131" t="e">
        <f t="shared" ref="Y76:AN76" si="55">IF(Y72&gt;0,Y72,0)</f>
        <v>#N/A</v>
      </c>
      <c r="Z76" s="131" t="e">
        <f t="shared" si="55"/>
        <v>#N/A</v>
      </c>
      <c r="AA76" s="131" t="e">
        <f t="shared" si="55"/>
        <v>#N/A</v>
      </c>
      <c r="AB76" s="131" t="e">
        <f t="shared" si="55"/>
        <v>#N/A</v>
      </c>
      <c r="AC76" s="131" t="e">
        <f t="shared" si="55"/>
        <v>#N/A</v>
      </c>
      <c r="AD76" s="131" t="e">
        <f t="shared" si="55"/>
        <v>#N/A</v>
      </c>
      <c r="AE76" s="131" t="e">
        <f t="shared" si="55"/>
        <v>#N/A</v>
      </c>
      <c r="AF76" s="131" t="e">
        <f t="shared" si="55"/>
        <v>#N/A</v>
      </c>
      <c r="AG76" s="131" t="e">
        <f t="shared" si="55"/>
        <v>#N/A</v>
      </c>
      <c r="AH76" s="131" t="e">
        <f t="shared" si="55"/>
        <v>#N/A</v>
      </c>
      <c r="AI76" s="131" t="e">
        <f t="shared" si="55"/>
        <v>#N/A</v>
      </c>
      <c r="AJ76" s="131" t="e">
        <f t="shared" si="55"/>
        <v>#N/A</v>
      </c>
      <c r="AK76" s="131" t="e">
        <f t="shared" si="55"/>
        <v>#N/A</v>
      </c>
      <c r="AL76" s="131" t="e">
        <f t="shared" si="55"/>
        <v>#N/A</v>
      </c>
      <c r="AM76" s="131" t="e">
        <f t="shared" si="55"/>
        <v>#N/A</v>
      </c>
      <c r="AN76" s="81" t="e">
        <f t="shared" si="55"/>
        <v>#N/A</v>
      </c>
    </row>
    <row r="78" spans="1:40" ht="15" thickBot="1" x14ac:dyDescent="0.35"/>
    <row r="79" spans="1:40" x14ac:dyDescent="0.3">
      <c r="B79" s="207" t="s">
        <v>216</v>
      </c>
      <c r="C79" s="198" t="e">
        <f>SUM(X76:AN76)</f>
        <v>#N/A</v>
      </c>
      <c r="D79" s="199"/>
      <c r="E79" s="133" t="s">
        <v>217</v>
      </c>
    </row>
    <row r="80" spans="1:40" x14ac:dyDescent="0.3">
      <c r="B80" s="208"/>
      <c r="C80" s="200" t="e">
        <f>C79/1000</f>
        <v>#N/A</v>
      </c>
      <c r="D80" s="200"/>
      <c r="E80" s="136" t="s">
        <v>218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228</v>
      </c>
      <c r="C81" s="191" t="e">
        <f>MAX(X76:AN76)/1000</f>
        <v>#N/A</v>
      </c>
      <c r="D81" s="192"/>
      <c r="E81" s="137" t="s">
        <v>218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A6:C6"/>
    <mergeCell ref="D6:E6"/>
    <mergeCell ref="G54:W54"/>
    <mergeCell ref="G29:W29"/>
    <mergeCell ref="G12:W12"/>
    <mergeCell ref="A7:C7"/>
    <mergeCell ref="D7:E7"/>
    <mergeCell ref="A8:C8"/>
    <mergeCell ref="D8:E8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X12:AN12"/>
    <mergeCell ref="G14:W14"/>
    <mergeCell ref="X14:AN14"/>
    <mergeCell ref="G24:W24"/>
    <mergeCell ref="X24:AN24"/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</mergeCells>
  <dataValidations disablePrompts="1"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workbookViewId="0"/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219</v>
      </c>
      <c r="F1" s="90" t="s">
        <v>220</v>
      </c>
      <c r="G1" s="90" t="s">
        <v>138</v>
      </c>
      <c r="J1" s="90" t="s">
        <v>147</v>
      </c>
      <c r="K1" s="90" t="s">
        <v>148</v>
      </c>
      <c r="L1" s="90" t="s">
        <v>211</v>
      </c>
      <c r="M1" s="90" t="s">
        <v>219</v>
      </c>
      <c r="N1" s="90" t="s">
        <v>220</v>
      </c>
      <c r="O1" s="90" t="s">
        <v>138</v>
      </c>
      <c r="R1" s="90" t="s">
        <v>152</v>
      </c>
      <c r="S1" s="90" t="s">
        <v>211</v>
      </c>
      <c r="T1" s="90" t="s">
        <v>219</v>
      </c>
      <c r="U1" s="90" t="s">
        <v>220</v>
      </c>
      <c r="V1" s="90" t="s">
        <v>138</v>
      </c>
      <c r="Y1" s="90" t="s">
        <v>153</v>
      </c>
      <c r="Z1" s="90" t="s">
        <v>211</v>
      </c>
      <c r="AA1" s="90" t="s">
        <v>219</v>
      </c>
      <c r="AB1" s="90" t="s">
        <v>220</v>
      </c>
      <c r="AC1" s="90" t="s">
        <v>138</v>
      </c>
      <c r="AF1" s="90" t="s">
        <v>158</v>
      </c>
      <c r="AG1" s="90" t="s">
        <v>137</v>
      </c>
      <c r="AH1" s="90" t="s">
        <v>219</v>
      </c>
      <c r="AI1" s="90" t="s">
        <v>220</v>
      </c>
      <c r="AJ1" s="90" t="s">
        <v>138</v>
      </c>
      <c r="AK1" s="90" t="s">
        <v>162</v>
      </c>
      <c r="AL1" s="90" t="s">
        <v>163</v>
      </c>
      <c r="AM1" s="90" t="s">
        <v>164</v>
      </c>
      <c r="AN1" s="90" t="s">
        <v>165</v>
      </c>
      <c r="AO1" s="90" t="s">
        <v>166</v>
      </c>
      <c r="AP1" s="90" t="s">
        <v>167</v>
      </c>
      <c r="AQ1" s="90" t="s">
        <v>168</v>
      </c>
      <c r="AR1" s="90" t="s">
        <v>169</v>
      </c>
      <c r="AS1" s="90" t="s">
        <v>170</v>
      </c>
      <c r="AT1" s="90" t="s">
        <v>171</v>
      </c>
      <c r="AU1" s="90" t="s">
        <v>172</v>
      </c>
      <c r="AV1" s="90" t="s">
        <v>173</v>
      </c>
      <c r="AW1" s="90" t="s">
        <v>174</v>
      </c>
      <c r="AX1" s="90" t="s">
        <v>175</v>
      </c>
      <c r="AY1" s="90" t="s">
        <v>176</v>
      </c>
      <c r="AZ1" s="90" t="s">
        <v>177</v>
      </c>
      <c r="BA1" s="90" t="s">
        <v>178</v>
      </c>
      <c r="BD1" s="90" t="s">
        <v>221</v>
      </c>
      <c r="BE1" s="90" t="s">
        <v>222</v>
      </c>
      <c r="BF1" s="90" t="s">
        <v>223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149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154</v>
      </c>
      <c r="S2" s="90">
        <v>0.1</v>
      </c>
      <c r="T2" s="90">
        <v>2</v>
      </c>
      <c r="U2" s="90">
        <v>1.5</v>
      </c>
      <c r="V2" s="90">
        <v>250</v>
      </c>
      <c r="Y2" s="90" t="s">
        <v>156</v>
      </c>
      <c r="Z2" s="90">
        <v>0.1</v>
      </c>
      <c r="AA2" s="90">
        <v>2</v>
      </c>
      <c r="AB2" s="90">
        <v>1.4</v>
      </c>
      <c r="AC2" s="90">
        <v>350</v>
      </c>
      <c r="AF2" s="90" t="s">
        <v>159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225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150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155</v>
      </c>
      <c r="S3" s="90">
        <v>0.15</v>
      </c>
      <c r="T3" s="90">
        <v>1</v>
      </c>
      <c r="U3" s="90">
        <v>0.75</v>
      </c>
      <c r="V3" s="90">
        <v>200</v>
      </c>
      <c r="Y3" s="90" t="s">
        <v>157</v>
      </c>
      <c r="Z3" s="90">
        <v>0.5</v>
      </c>
      <c r="AA3" s="90">
        <v>2.25</v>
      </c>
      <c r="AB3" s="90">
        <v>1.65</v>
      </c>
      <c r="AC3" s="90">
        <v>300</v>
      </c>
      <c r="AF3" s="90" t="s">
        <v>160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226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144</v>
      </c>
      <c r="D4" s="90">
        <v>0.2</v>
      </c>
      <c r="E4" s="90">
        <v>3</v>
      </c>
      <c r="F4" s="90">
        <v>0.1</v>
      </c>
      <c r="G4" s="90">
        <v>125</v>
      </c>
      <c r="J4" s="90" t="s">
        <v>151</v>
      </c>
      <c r="K4" s="90">
        <v>0.8</v>
      </c>
      <c r="L4" s="90">
        <v>0.6</v>
      </c>
      <c r="M4" s="90">
        <v>3</v>
      </c>
      <c r="N4" s="90">
        <v>2</v>
      </c>
      <c r="O4" s="90">
        <v>600</v>
      </c>
      <c r="AF4" s="90" t="s">
        <v>161</v>
      </c>
      <c r="AG4" s="90">
        <v>0.158</v>
      </c>
      <c r="AH4" s="90">
        <v>4.2</v>
      </c>
      <c r="AI4" s="90">
        <v>1.3</v>
      </c>
      <c r="AJ4" s="90">
        <v>130</v>
      </c>
      <c r="AK4" s="90">
        <v>3</v>
      </c>
      <c r="AL4" s="90">
        <v>1</v>
      </c>
      <c r="AM4" s="90">
        <v>1</v>
      </c>
      <c r="AN4" s="90">
        <v>3</v>
      </c>
      <c r="AO4" s="90">
        <v>7</v>
      </c>
      <c r="AP4" s="90">
        <v>15</v>
      </c>
      <c r="AQ4" s="90">
        <v>23</v>
      </c>
      <c r="AR4" s="90">
        <v>33</v>
      </c>
      <c r="AS4" s="90">
        <v>43</v>
      </c>
      <c r="AT4" s="90">
        <v>51</v>
      </c>
      <c r="AU4" s="90">
        <v>58</v>
      </c>
      <c r="AV4" s="90">
        <v>62</v>
      </c>
      <c r="AW4" s="90">
        <v>64</v>
      </c>
      <c r="AX4" s="90">
        <v>62</v>
      </c>
      <c r="AY4" s="90">
        <v>57</v>
      </c>
      <c r="AZ4" s="90">
        <v>50</v>
      </c>
      <c r="BA4" s="90">
        <v>42</v>
      </c>
      <c r="BD4" s="90" t="s">
        <v>224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145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143</v>
      </c>
      <c r="B6" s="90">
        <v>0.09</v>
      </c>
      <c r="C6" s="90" t="s">
        <v>146</v>
      </c>
      <c r="D6" s="90">
        <v>0.3</v>
      </c>
      <c r="E6" s="90">
        <v>1</v>
      </c>
      <c r="F6" s="90">
        <v>0.5</v>
      </c>
      <c r="G6" s="90">
        <v>110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1" t="s">
        <v>26</v>
      </c>
      <c r="AK1" s="211"/>
      <c r="AL1" s="211"/>
      <c r="AO1" t="s">
        <v>28</v>
      </c>
    </row>
    <row r="2" spans="1:63" ht="15" thickBot="1" x14ac:dyDescent="0.35">
      <c r="A2" s="16" t="s">
        <v>8</v>
      </c>
      <c r="D2" s="85" t="s">
        <v>179</v>
      </c>
      <c r="E2" s="86"/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1" t="s">
        <v>26</v>
      </c>
      <c r="AK15" s="211"/>
      <c r="AL15" s="211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e">
        <f>_xlfn.IFS($E$2=1,G2,$E$2=2,G3,$E$2=3,G4,$E$2=4,G5,$E$2=5,G6,$E$2=6,G7,$E$2=7,G8,$E$2=8,G9,$E$2=9,G10,$E$2=10,G11,$E$2=11,G12,$E$2=12,G13)</f>
        <v>#N/A</v>
      </c>
      <c r="H19" s="9" t="e">
        <f t="shared" ref="H19:AE19" si="25">_xlfn.IFS($E$2=1,H2,$E$2=2,H3,$E$2=3,H4,$E$2=4,H5,$E$2=5,H6,$E$2=6,H7,$E$2=7,H8,$E$2=8,H9,$E$2=9,H10,$E$2=10,H11,$E$2=11,H12,$E$2=12,H13)</f>
        <v>#N/A</v>
      </c>
      <c r="I19" s="9" t="e">
        <f t="shared" si="25"/>
        <v>#N/A</v>
      </c>
      <c r="J19" s="9" t="e">
        <f t="shared" si="25"/>
        <v>#N/A</v>
      </c>
      <c r="K19" s="9" t="e">
        <f t="shared" si="25"/>
        <v>#N/A</v>
      </c>
      <c r="L19" s="9" t="e">
        <f t="shared" si="25"/>
        <v>#N/A</v>
      </c>
      <c r="M19" s="9" t="e">
        <f t="shared" si="25"/>
        <v>#N/A</v>
      </c>
      <c r="N19" s="9" t="e">
        <f t="shared" si="25"/>
        <v>#N/A</v>
      </c>
      <c r="O19" s="9" t="e">
        <f t="shared" si="25"/>
        <v>#N/A</v>
      </c>
      <c r="P19" s="9" t="e">
        <f t="shared" si="25"/>
        <v>#N/A</v>
      </c>
      <c r="Q19" s="9" t="e">
        <f t="shared" si="25"/>
        <v>#N/A</v>
      </c>
      <c r="R19" s="9" t="e">
        <f t="shared" si="25"/>
        <v>#N/A</v>
      </c>
      <c r="S19" s="9" t="e">
        <f t="shared" si="25"/>
        <v>#N/A</v>
      </c>
      <c r="T19" s="9" t="e">
        <f t="shared" si="25"/>
        <v>#N/A</v>
      </c>
      <c r="U19" s="9" t="e">
        <f t="shared" si="25"/>
        <v>#N/A</v>
      </c>
      <c r="V19" s="9" t="e">
        <f t="shared" si="25"/>
        <v>#N/A</v>
      </c>
      <c r="W19" s="9" t="e">
        <f t="shared" si="25"/>
        <v>#N/A</v>
      </c>
      <c r="X19" s="9" t="e">
        <f t="shared" si="25"/>
        <v>#N/A</v>
      </c>
      <c r="Y19" s="9" t="e">
        <f t="shared" si="25"/>
        <v>#N/A</v>
      </c>
      <c r="Z19" s="9" t="e">
        <f t="shared" si="25"/>
        <v>#N/A</v>
      </c>
      <c r="AA19" s="9" t="e">
        <f t="shared" si="25"/>
        <v>#N/A</v>
      </c>
      <c r="AB19" s="9" t="e">
        <f t="shared" si="25"/>
        <v>#N/A</v>
      </c>
      <c r="AC19" s="9" t="e">
        <f t="shared" si="25"/>
        <v>#N/A</v>
      </c>
      <c r="AD19" s="9" t="e">
        <f t="shared" si="25"/>
        <v>#N/A</v>
      </c>
      <c r="AE19" s="9" t="e">
        <f t="shared" si="25"/>
        <v>#N/A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1" t="s">
        <v>26</v>
      </c>
      <c r="AK29" s="211"/>
      <c r="AL29" s="211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179</v>
      </c>
      <c r="B1" s="105"/>
      <c r="D1" s="212" t="s">
        <v>79</v>
      </c>
      <c r="F1" s="91" t="s">
        <v>180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2" t="s">
        <v>188</v>
      </c>
      <c r="AB1" s="91" t="s">
        <v>180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3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3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3"/>
      <c r="F3" s="94" t="s">
        <v>182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3"/>
      <c r="AB3" s="94" t="s">
        <v>182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3"/>
      <c r="F4" s="94" t="s">
        <v>181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3"/>
      <c r="AB4" s="94" t="s">
        <v>181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3"/>
      <c r="F5" s="94" t="s">
        <v>183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3"/>
      <c r="AB5" s="94" t="s">
        <v>183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3"/>
      <c r="F6" s="94" t="s">
        <v>187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3"/>
      <c r="AB6" s="94" t="s">
        <v>187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3"/>
      <c r="F7" s="94" t="s">
        <v>184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3"/>
      <c r="AB7" s="94" t="s">
        <v>184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3"/>
      <c r="F8" s="94" t="s">
        <v>185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3"/>
      <c r="AB8" s="94" t="s">
        <v>185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4"/>
      <c r="F9" s="97" t="s">
        <v>186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4"/>
      <c r="AB9" s="97" t="s">
        <v>186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5" t="s">
        <v>190</v>
      </c>
      <c r="F13" s="91" t="s">
        <v>180</v>
      </c>
      <c r="G13" s="93" t="s">
        <v>191</v>
      </c>
    </row>
    <row r="14" spans="1:40" x14ac:dyDescent="0.3">
      <c r="D14" s="216"/>
      <c r="F14" s="94" t="s">
        <v>77</v>
      </c>
      <c r="G14" s="96" t="e">
        <f>_xlfn.IFS($B$1=1,AC2,$B$1=2,AD2,$B$1=3,AE2,$B$1=4,AF2,$B$1=5,AG2,$B$1=6,AH2,$B$1=7,AI2,$B$1=8,AJ2,$B$1=9,AK2,$B$1=10,AL2,$B$1=11,AM2,$B$1=12,AN2)</f>
        <v>#N/A</v>
      </c>
    </row>
    <row r="15" spans="1:40" x14ac:dyDescent="0.3">
      <c r="D15" s="216"/>
      <c r="F15" s="94" t="s">
        <v>182</v>
      </c>
      <c r="G15" s="96" t="e">
        <f t="shared" ref="G15:G21" si="0">_xlfn.IFS($B$1=1,AC3,$B$1=2,AD3,$B$1=3,AE3,$B$1=4,AF3,$B$1=5,AG3,$B$1=6,AH3,$B$1=7,AI3,$B$1=8,AJ3,$B$1=9,AK3,$B$1=10,AL3,$B$1=11,AM3,$B$1=12,AN3)</f>
        <v>#N/A</v>
      </c>
    </row>
    <row r="16" spans="1:40" x14ac:dyDescent="0.3">
      <c r="D16" s="216"/>
      <c r="F16" s="94" t="s">
        <v>181</v>
      </c>
      <c r="G16" s="96" t="e">
        <f t="shared" si="0"/>
        <v>#N/A</v>
      </c>
    </row>
    <row r="17" spans="4:7" x14ac:dyDescent="0.3">
      <c r="D17" s="216"/>
      <c r="F17" s="94" t="s">
        <v>183</v>
      </c>
      <c r="G17" s="96" t="e">
        <f t="shared" si="0"/>
        <v>#N/A</v>
      </c>
    </row>
    <row r="18" spans="4:7" x14ac:dyDescent="0.3">
      <c r="D18" s="216"/>
      <c r="F18" s="94" t="s">
        <v>187</v>
      </c>
      <c r="G18" s="96" t="e">
        <f t="shared" si="0"/>
        <v>#N/A</v>
      </c>
    </row>
    <row r="19" spans="4:7" x14ac:dyDescent="0.3">
      <c r="D19" s="216"/>
      <c r="F19" s="94" t="s">
        <v>184</v>
      </c>
      <c r="G19" s="96" t="e">
        <f t="shared" si="0"/>
        <v>#N/A</v>
      </c>
    </row>
    <row r="20" spans="4:7" x14ac:dyDescent="0.3">
      <c r="D20" s="216"/>
      <c r="F20" s="94" t="s">
        <v>185</v>
      </c>
      <c r="G20" s="96" t="e">
        <f t="shared" si="0"/>
        <v>#N/A</v>
      </c>
    </row>
    <row r="21" spans="4:7" ht="15" thickBot="1" x14ac:dyDescent="0.35">
      <c r="D21" s="217"/>
      <c r="F21" s="97" t="s">
        <v>186</v>
      </c>
      <c r="G21" s="99" t="e">
        <f t="shared" si="0"/>
        <v>#N/A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5" t="s">
        <v>200</v>
      </c>
      <c r="I1" s="91" t="s">
        <v>180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5" t="s">
        <v>195</v>
      </c>
      <c r="AE1" s="91" t="s">
        <v>180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6"/>
      <c r="I2" s="94" t="s">
        <v>77</v>
      </c>
      <c r="J2" s="95" t="e">
        <f>_xlfn.IFS($D$4="A",AF14,$D$4="B",AF23,$D$4="C",AF32,$D$4="D",AF41,$D$4="E",AF50,$D$4="F",AF59,$D$4="G",AF68)</f>
        <v>#N/A</v>
      </c>
      <c r="K2" s="95" t="e">
        <f t="shared" ref="K2:Z2" si="0">_xlfn.IFS($D$4="A",AG14,$D$4="B",AG23,$D$4="C",AG32,$D$4="D",AG41,$D$4="E",AG50,$D$4="F",AG59,$D$4="G",AG68)</f>
        <v>#N/A</v>
      </c>
      <c r="L2" s="95" t="e">
        <f t="shared" si="0"/>
        <v>#N/A</v>
      </c>
      <c r="M2" s="95" t="e">
        <f t="shared" si="0"/>
        <v>#N/A</v>
      </c>
      <c r="N2" s="95" t="e">
        <f t="shared" si="0"/>
        <v>#N/A</v>
      </c>
      <c r="O2" s="95" t="e">
        <f t="shared" si="0"/>
        <v>#N/A</v>
      </c>
      <c r="P2" s="95" t="e">
        <f t="shared" si="0"/>
        <v>#N/A</v>
      </c>
      <c r="Q2" s="95" t="e">
        <f t="shared" si="0"/>
        <v>#N/A</v>
      </c>
      <c r="R2" s="95" t="e">
        <f t="shared" si="0"/>
        <v>#N/A</v>
      </c>
      <c r="S2" s="95" t="e">
        <f t="shared" si="0"/>
        <v>#N/A</v>
      </c>
      <c r="T2" s="95" t="e">
        <f t="shared" si="0"/>
        <v>#N/A</v>
      </c>
      <c r="U2" s="95" t="e">
        <f t="shared" si="0"/>
        <v>#N/A</v>
      </c>
      <c r="V2" s="95" t="e">
        <f t="shared" si="0"/>
        <v>#N/A</v>
      </c>
      <c r="W2" s="95" t="e">
        <f t="shared" si="0"/>
        <v>#N/A</v>
      </c>
      <c r="X2" s="95" t="e">
        <f t="shared" si="0"/>
        <v>#N/A</v>
      </c>
      <c r="Y2" s="95" t="e">
        <f t="shared" si="0"/>
        <v>#N/A</v>
      </c>
      <c r="Z2" s="96" t="e">
        <f t="shared" si="0"/>
        <v>#N/A</v>
      </c>
      <c r="AA2" s="115"/>
      <c r="AC2" s="216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179</v>
      </c>
      <c r="D3" s="110"/>
      <c r="G3" s="216"/>
      <c r="I3" s="94" t="s">
        <v>182</v>
      </c>
      <c r="J3" s="95" t="e">
        <f t="shared" ref="J3:J9" si="1">_xlfn.IFS($D$4="A",AF15,$D$4="B",AF24,$D$4="C",AF33,$D$4="D",AF42,$D$4="E",AF51,$D$4="F",AF60,$D$4="G",AF69)</f>
        <v>#N/A</v>
      </c>
      <c r="K3" s="95" t="e">
        <f t="shared" ref="K3:K9" si="2">_xlfn.IFS($D$4="A",AG15,$D$4="B",AG24,$D$4="C",AG33,$D$4="D",AG42,$D$4="E",AG51,$D$4="F",AG60,$D$4="G",AG69)</f>
        <v>#N/A</v>
      </c>
      <c r="L3" s="95" t="e">
        <f t="shared" ref="L3:L9" si="3">_xlfn.IFS($D$4="A",AH15,$D$4="B",AH24,$D$4="C",AH33,$D$4="D",AH42,$D$4="E",AH51,$D$4="F",AH60,$D$4="G",AH69)</f>
        <v>#N/A</v>
      </c>
      <c r="M3" s="95" t="e">
        <f t="shared" ref="M3:M9" si="4">_xlfn.IFS($D$4="A",AI15,$D$4="B",AI24,$D$4="C",AI33,$D$4="D",AI42,$D$4="E",AI51,$D$4="F",AI60,$D$4="G",AI69)</f>
        <v>#N/A</v>
      </c>
      <c r="N3" s="95" t="e">
        <f t="shared" ref="N3:N9" si="5">_xlfn.IFS($D$4="A",AJ15,$D$4="B",AJ24,$D$4="C",AJ33,$D$4="D",AJ42,$D$4="E",AJ51,$D$4="F",AJ60,$D$4="G",AJ69)</f>
        <v>#N/A</v>
      </c>
      <c r="O3" s="95" t="e">
        <f t="shared" ref="O3:O9" si="6">_xlfn.IFS($D$4="A",AK15,$D$4="B",AK24,$D$4="C",AK33,$D$4="D",AK42,$D$4="E",AK51,$D$4="F",AK60,$D$4="G",AK69)</f>
        <v>#N/A</v>
      </c>
      <c r="P3" s="95" t="e">
        <f t="shared" ref="P3:P9" si="7">_xlfn.IFS($D$4="A",AL15,$D$4="B",AL24,$D$4="C",AL33,$D$4="D",AL42,$D$4="E",AL51,$D$4="F",AL60,$D$4="G",AL69)</f>
        <v>#N/A</v>
      </c>
      <c r="Q3" s="95" t="e">
        <f t="shared" ref="Q3:Q9" si="8">_xlfn.IFS($D$4="A",AM15,$D$4="B",AM24,$D$4="C",AM33,$D$4="D",AM42,$D$4="E",AM51,$D$4="F",AM60,$D$4="G",AM69)</f>
        <v>#N/A</v>
      </c>
      <c r="R3" s="95" t="e">
        <f t="shared" ref="R3:R9" si="9">_xlfn.IFS($D$4="A",AN15,$D$4="B",AN24,$D$4="C",AN33,$D$4="D",AN42,$D$4="E",AN51,$D$4="F",AN60,$D$4="G",AN69)</f>
        <v>#N/A</v>
      </c>
      <c r="S3" s="95" t="e">
        <f t="shared" ref="S3:S9" si="10">_xlfn.IFS($D$4="A",AO15,$D$4="B",AO24,$D$4="C",AO33,$D$4="D",AO42,$D$4="E",AO51,$D$4="F",AO60,$D$4="G",AO69)</f>
        <v>#N/A</v>
      </c>
      <c r="T3" s="95" t="e">
        <f t="shared" ref="T3:T9" si="11">_xlfn.IFS($D$4="A",AP15,$D$4="B",AP24,$D$4="C",AP33,$D$4="D",AP42,$D$4="E",AP51,$D$4="F",AP60,$D$4="G",AP69)</f>
        <v>#N/A</v>
      </c>
      <c r="U3" s="95" t="e">
        <f t="shared" ref="U3:U9" si="12">_xlfn.IFS($D$4="A",AQ15,$D$4="B",AQ24,$D$4="C",AQ33,$D$4="D",AQ42,$D$4="E",AQ51,$D$4="F",AQ60,$D$4="G",AQ69)</f>
        <v>#N/A</v>
      </c>
      <c r="V3" s="95" t="e">
        <f t="shared" ref="V3:V9" si="13">_xlfn.IFS($D$4="A",AR15,$D$4="B",AR24,$D$4="C",AR33,$D$4="D",AR42,$D$4="E",AR51,$D$4="F",AR60,$D$4="G",AR69)</f>
        <v>#N/A</v>
      </c>
      <c r="W3" s="95" t="e">
        <f t="shared" ref="W3:W9" si="14">_xlfn.IFS($D$4="A",AS15,$D$4="B",AS24,$D$4="C",AS33,$D$4="D",AS42,$D$4="E",AS51,$D$4="F",AS60,$D$4="G",AS69)</f>
        <v>#N/A</v>
      </c>
      <c r="X3" s="95" t="e">
        <f t="shared" ref="X3:X9" si="15">_xlfn.IFS($D$4="A",AT15,$D$4="B",AT24,$D$4="C",AT33,$D$4="D",AT42,$D$4="E",AT51,$D$4="F",AT60,$D$4="G",AT69)</f>
        <v>#N/A</v>
      </c>
      <c r="Y3" s="95" t="e">
        <f t="shared" ref="Y3:Y9" si="16">_xlfn.IFS($D$4="A",AU15,$D$4="B",AU24,$D$4="C",AU33,$D$4="D",AU42,$D$4="E",AU51,$D$4="F",AU60,$D$4="G",AU69)</f>
        <v>#N/A</v>
      </c>
      <c r="Z3" s="96" t="e">
        <f t="shared" ref="Z3:Z9" si="17">_xlfn.IFS($D$4="A",AV15,$D$4="B",AV24,$D$4="C",AV33,$D$4="D",AV42,$D$4="E",AV51,$D$4="F",AV60,$D$4="G",AV69)</f>
        <v>#N/A</v>
      </c>
      <c r="AA3" s="115"/>
      <c r="AC3" s="216"/>
      <c r="AE3" s="94" t="s">
        <v>182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199</v>
      </c>
      <c r="D4" s="106"/>
      <c r="G4" s="216"/>
      <c r="I4" s="94" t="s">
        <v>181</v>
      </c>
      <c r="J4" s="95" t="e">
        <f t="shared" si="1"/>
        <v>#N/A</v>
      </c>
      <c r="K4" s="95" t="e">
        <f t="shared" si="2"/>
        <v>#N/A</v>
      </c>
      <c r="L4" s="95" t="e">
        <f t="shared" si="3"/>
        <v>#N/A</v>
      </c>
      <c r="M4" s="95" t="e">
        <f t="shared" si="4"/>
        <v>#N/A</v>
      </c>
      <c r="N4" s="95" t="e">
        <f t="shared" si="5"/>
        <v>#N/A</v>
      </c>
      <c r="O4" s="95" t="e">
        <f t="shared" si="6"/>
        <v>#N/A</v>
      </c>
      <c r="P4" s="95" t="e">
        <f t="shared" si="7"/>
        <v>#N/A</v>
      </c>
      <c r="Q4" s="95" t="e">
        <f t="shared" si="8"/>
        <v>#N/A</v>
      </c>
      <c r="R4" s="95" t="e">
        <f t="shared" si="9"/>
        <v>#N/A</v>
      </c>
      <c r="S4" s="95" t="e">
        <f t="shared" si="10"/>
        <v>#N/A</v>
      </c>
      <c r="T4" s="95" t="e">
        <f t="shared" si="11"/>
        <v>#N/A</v>
      </c>
      <c r="U4" s="95" t="e">
        <f t="shared" si="12"/>
        <v>#N/A</v>
      </c>
      <c r="V4" s="95" t="e">
        <f t="shared" si="13"/>
        <v>#N/A</v>
      </c>
      <c r="W4" s="95" t="e">
        <f t="shared" si="14"/>
        <v>#N/A</v>
      </c>
      <c r="X4" s="95" t="e">
        <f t="shared" si="15"/>
        <v>#N/A</v>
      </c>
      <c r="Y4" s="95" t="e">
        <f t="shared" si="16"/>
        <v>#N/A</v>
      </c>
      <c r="Z4" s="96" t="e">
        <f t="shared" si="17"/>
        <v>#N/A</v>
      </c>
      <c r="AA4" s="115"/>
      <c r="AC4" s="216"/>
      <c r="AE4" s="94" t="s">
        <v>181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6"/>
      <c r="I5" s="94" t="s">
        <v>183</v>
      </c>
      <c r="J5" s="95" t="e">
        <f t="shared" si="1"/>
        <v>#N/A</v>
      </c>
      <c r="K5" s="95" t="e">
        <f t="shared" si="2"/>
        <v>#N/A</v>
      </c>
      <c r="L5" s="95" t="e">
        <f t="shared" si="3"/>
        <v>#N/A</v>
      </c>
      <c r="M5" s="95" t="e">
        <f t="shared" si="4"/>
        <v>#N/A</v>
      </c>
      <c r="N5" s="95" t="e">
        <f t="shared" si="5"/>
        <v>#N/A</v>
      </c>
      <c r="O5" s="95" t="e">
        <f t="shared" si="6"/>
        <v>#N/A</v>
      </c>
      <c r="P5" s="95" t="e">
        <f t="shared" si="7"/>
        <v>#N/A</v>
      </c>
      <c r="Q5" s="95" t="e">
        <f t="shared" si="8"/>
        <v>#N/A</v>
      </c>
      <c r="R5" s="95" t="e">
        <f t="shared" si="9"/>
        <v>#N/A</v>
      </c>
      <c r="S5" s="95" t="e">
        <f t="shared" si="10"/>
        <v>#N/A</v>
      </c>
      <c r="T5" s="95" t="e">
        <f t="shared" si="11"/>
        <v>#N/A</v>
      </c>
      <c r="U5" s="95" t="e">
        <f t="shared" si="12"/>
        <v>#N/A</v>
      </c>
      <c r="V5" s="95" t="e">
        <f t="shared" si="13"/>
        <v>#N/A</v>
      </c>
      <c r="W5" s="95" t="e">
        <f t="shared" si="14"/>
        <v>#N/A</v>
      </c>
      <c r="X5" s="95" t="e">
        <f t="shared" si="15"/>
        <v>#N/A</v>
      </c>
      <c r="Y5" s="95" t="e">
        <f t="shared" si="16"/>
        <v>#N/A</v>
      </c>
      <c r="Z5" s="96" t="e">
        <f t="shared" si="17"/>
        <v>#N/A</v>
      </c>
      <c r="AA5" s="115"/>
      <c r="AC5" s="216"/>
      <c r="AE5" s="94" t="s">
        <v>183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6"/>
      <c r="I6" s="94" t="s">
        <v>187</v>
      </c>
      <c r="J6" s="95" t="e">
        <f t="shared" si="1"/>
        <v>#N/A</v>
      </c>
      <c r="K6" s="95" t="e">
        <f t="shared" si="2"/>
        <v>#N/A</v>
      </c>
      <c r="L6" s="95" t="e">
        <f t="shared" si="3"/>
        <v>#N/A</v>
      </c>
      <c r="M6" s="95" t="e">
        <f t="shared" si="4"/>
        <v>#N/A</v>
      </c>
      <c r="N6" s="95" t="e">
        <f t="shared" si="5"/>
        <v>#N/A</v>
      </c>
      <c r="O6" s="95" t="e">
        <f t="shared" si="6"/>
        <v>#N/A</v>
      </c>
      <c r="P6" s="95" t="e">
        <f t="shared" si="7"/>
        <v>#N/A</v>
      </c>
      <c r="Q6" s="95" t="e">
        <f t="shared" si="8"/>
        <v>#N/A</v>
      </c>
      <c r="R6" s="95" t="e">
        <f t="shared" si="9"/>
        <v>#N/A</v>
      </c>
      <c r="S6" s="95" t="e">
        <f t="shared" si="10"/>
        <v>#N/A</v>
      </c>
      <c r="T6" s="95" t="e">
        <f t="shared" si="11"/>
        <v>#N/A</v>
      </c>
      <c r="U6" s="95" t="e">
        <f t="shared" si="12"/>
        <v>#N/A</v>
      </c>
      <c r="V6" s="95" t="e">
        <f t="shared" si="13"/>
        <v>#N/A</v>
      </c>
      <c r="W6" s="95" t="e">
        <f t="shared" si="14"/>
        <v>#N/A</v>
      </c>
      <c r="X6" s="95" t="e">
        <f t="shared" si="15"/>
        <v>#N/A</v>
      </c>
      <c r="Y6" s="95" t="e">
        <f t="shared" si="16"/>
        <v>#N/A</v>
      </c>
      <c r="Z6" s="96" t="e">
        <f t="shared" si="17"/>
        <v>#N/A</v>
      </c>
      <c r="AA6" s="115"/>
      <c r="AC6" s="216"/>
      <c r="AE6" s="94" t="s">
        <v>187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6"/>
      <c r="I7" s="94" t="s">
        <v>184</v>
      </c>
      <c r="J7" s="95" t="e">
        <f t="shared" si="1"/>
        <v>#N/A</v>
      </c>
      <c r="K7" s="95" t="e">
        <f t="shared" si="2"/>
        <v>#N/A</v>
      </c>
      <c r="L7" s="95" t="e">
        <f t="shared" si="3"/>
        <v>#N/A</v>
      </c>
      <c r="M7" s="95" t="e">
        <f t="shared" si="4"/>
        <v>#N/A</v>
      </c>
      <c r="N7" s="95" t="e">
        <f t="shared" si="5"/>
        <v>#N/A</v>
      </c>
      <c r="O7" s="95" t="e">
        <f t="shared" si="6"/>
        <v>#N/A</v>
      </c>
      <c r="P7" s="95" t="e">
        <f t="shared" si="7"/>
        <v>#N/A</v>
      </c>
      <c r="Q7" s="95" t="e">
        <f t="shared" si="8"/>
        <v>#N/A</v>
      </c>
      <c r="R7" s="95" t="e">
        <f t="shared" si="9"/>
        <v>#N/A</v>
      </c>
      <c r="S7" s="95" t="e">
        <f t="shared" si="10"/>
        <v>#N/A</v>
      </c>
      <c r="T7" s="95" t="e">
        <f t="shared" si="11"/>
        <v>#N/A</v>
      </c>
      <c r="U7" s="95" t="e">
        <f t="shared" si="12"/>
        <v>#N/A</v>
      </c>
      <c r="V7" s="95" t="e">
        <f t="shared" si="13"/>
        <v>#N/A</v>
      </c>
      <c r="W7" s="95" t="e">
        <f t="shared" si="14"/>
        <v>#N/A</v>
      </c>
      <c r="X7" s="95" t="e">
        <f t="shared" si="15"/>
        <v>#N/A</v>
      </c>
      <c r="Y7" s="95" t="e">
        <f t="shared" si="16"/>
        <v>#N/A</v>
      </c>
      <c r="Z7" s="96" t="e">
        <f t="shared" si="17"/>
        <v>#N/A</v>
      </c>
      <c r="AA7" s="115"/>
      <c r="AC7" s="216"/>
      <c r="AE7" s="94" t="s">
        <v>184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6"/>
      <c r="I8" s="94" t="s">
        <v>185</v>
      </c>
      <c r="J8" s="95" t="e">
        <f t="shared" si="1"/>
        <v>#N/A</v>
      </c>
      <c r="K8" s="95" t="e">
        <f t="shared" si="2"/>
        <v>#N/A</v>
      </c>
      <c r="L8" s="95" t="e">
        <f t="shared" si="3"/>
        <v>#N/A</v>
      </c>
      <c r="M8" s="95" t="e">
        <f t="shared" si="4"/>
        <v>#N/A</v>
      </c>
      <c r="N8" s="95" t="e">
        <f t="shared" si="5"/>
        <v>#N/A</v>
      </c>
      <c r="O8" s="95" t="e">
        <f t="shared" si="6"/>
        <v>#N/A</v>
      </c>
      <c r="P8" s="95" t="e">
        <f t="shared" si="7"/>
        <v>#N/A</v>
      </c>
      <c r="Q8" s="95" t="e">
        <f t="shared" si="8"/>
        <v>#N/A</v>
      </c>
      <c r="R8" s="95" t="e">
        <f t="shared" si="9"/>
        <v>#N/A</v>
      </c>
      <c r="S8" s="95" t="e">
        <f t="shared" si="10"/>
        <v>#N/A</v>
      </c>
      <c r="T8" s="95" t="e">
        <f t="shared" si="11"/>
        <v>#N/A</v>
      </c>
      <c r="U8" s="95" t="e">
        <f t="shared" si="12"/>
        <v>#N/A</v>
      </c>
      <c r="V8" s="95" t="e">
        <f t="shared" si="13"/>
        <v>#N/A</v>
      </c>
      <c r="W8" s="95" t="e">
        <f t="shared" si="14"/>
        <v>#N/A</v>
      </c>
      <c r="X8" s="95" t="e">
        <f t="shared" si="15"/>
        <v>#N/A</v>
      </c>
      <c r="Y8" s="95" t="e">
        <f t="shared" si="16"/>
        <v>#N/A</v>
      </c>
      <c r="Z8" s="96" t="e">
        <f t="shared" si="17"/>
        <v>#N/A</v>
      </c>
      <c r="AA8" s="115"/>
      <c r="AC8" s="216"/>
      <c r="AE8" s="94" t="s">
        <v>185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7"/>
      <c r="I9" s="97" t="s">
        <v>186</v>
      </c>
      <c r="J9" s="98" t="e">
        <f t="shared" si="1"/>
        <v>#N/A</v>
      </c>
      <c r="K9" s="98" t="e">
        <f t="shared" si="2"/>
        <v>#N/A</v>
      </c>
      <c r="L9" s="98" t="e">
        <f t="shared" si="3"/>
        <v>#N/A</v>
      </c>
      <c r="M9" s="98" t="e">
        <f t="shared" si="4"/>
        <v>#N/A</v>
      </c>
      <c r="N9" s="98" t="e">
        <f t="shared" si="5"/>
        <v>#N/A</v>
      </c>
      <c r="O9" s="98" t="e">
        <f t="shared" si="6"/>
        <v>#N/A</v>
      </c>
      <c r="P9" s="98" t="e">
        <f t="shared" si="7"/>
        <v>#N/A</v>
      </c>
      <c r="Q9" s="98" t="e">
        <f t="shared" si="8"/>
        <v>#N/A</v>
      </c>
      <c r="R9" s="98" t="e">
        <f t="shared" si="9"/>
        <v>#N/A</v>
      </c>
      <c r="S9" s="98" t="e">
        <f t="shared" si="10"/>
        <v>#N/A</v>
      </c>
      <c r="T9" s="98" t="e">
        <f t="shared" si="11"/>
        <v>#N/A</v>
      </c>
      <c r="U9" s="98" t="e">
        <f t="shared" si="12"/>
        <v>#N/A</v>
      </c>
      <c r="V9" s="98" t="e">
        <f t="shared" si="13"/>
        <v>#N/A</v>
      </c>
      <c r="W9" s="98" t="e">
        <f t="shared" si="14"/>
        <v>#N/A</v>
      </c>
      <c r="X9" s="98" t="e">
        <f t="shared" si="15"/>
        <v>#N/A</v>
      </c>
      <c r="Y9" s="98" t="e">
        <f t="shared" si="16"/>
        <v>#N/A</v>
      </c>
      <c r="Z9" s="99" t="e">
        <f t="shared" si="17"/>
        <v>#N/A</v>
      </c>
      <c r="AA9" s="115"/>
      <c r="AC9" s="217"/>
      <c r="AE9" s="97" t="s">
        <v>186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5" t="s">
        <v>209</v>
      </c>
      <c r="I12" s="91" t="s">
        <v>13</v>
      </c>
      <c r="J12" s="123" t="e">
        <f>_xlfn.IFS($D$3=1,$AF1,$D$3=2,$AG1,$D$3=3,$AH1,$D$3=4,$AI1,$D$3=5,$AJ1,$D$3=6,$AK1,$D$3=7,$AL1,$D$3=8,$AM1,$D$3=9,$AN1,$D$3=10,$AO1,$D$3=11,$AP1,$D$3=12,$AQ1)</f>
        <v>#N/A</v>
      </c>
      <c r="AC12" s="215" t="s">
        <v>201</v>
      </c>
      <c r="AE12" s="91" t="s">
        <v>180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6"/>
      <c r="I13" s="94" t="s">
        <v>77</v>
      </c>
      <c r="J13" s="124" t="e">
        <f t="shared" ref="J13:J20" si="18">_xlfn.IFS($D$3=1,$AF2,$D$3=2,$AG2,$D$3=3,$AH2,$D$3=4,$AI2,$D$3=5,$AJ2,$D$3=6,$AK2,$D$3=7,$AL2,$D$3=8,$AM2,$D$3=9,$AN2,$D$3=10,$AO2,$D$3=11,$AP2,$D$3=12,$AQ2)</f>
        <v>#N/A</v>
      </c>
      <c r="AC13" s="216"/>
      <c r="AE13" s="122"/>
      <c r="AF13" s="221" t="s">
        <v>202</v>
      </c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3"/>
    </row>
    <row r="14" spans="1:48" x14ac:dyDescent="0.3">
      <c r="G14" s="216"/>
      <c r="I14" s="94" t="s">
        <v>182</v>
      </c>
      <c r="J14" s="124" t="e">
        <f t="shared" si="18"/>
        <v>#N/A</v>
      </c>
      <c r="AC14" s="216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6"/>
      <c r="I15" s="94" t="s">
        <v>181</v>
      </c>
      <c r="J15" s="124" t="e">
        <f t="shared" si="18"/>
        <v>#N/A</v>
      </c>
      <c r="AC15" s="216"/>
      <c r="AE15" s="94" t="s">
        <v>182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6"/>
      <c r="I16" s="94" t="s">
        <v>183</v>
      </c>
      <c r="J16" s="124" t="e">
        <f t="shared" si="18"/>
        <v>#N/A</v>
      </c>
      <c r="AC16" s="216"/>
      <c r="AE16" s="94" t="s">
        <v>181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6"/>
      <c r="I17" s="94" t="s">
        <v>187</v>
      </c>
      <c r="J17" s="124" t="e">
        <f t="shared" si="18"/>
        <v>#N/A</v>
      </c>
      <c r="AC17" s="216"/>
      <c r="AE17" s="94" t="s">
        <v>183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6"/>
      <c r="I18" s="94" t="s">
        <v>184</v>
      </c>
      <c r="J18" s="124" t="e">
        <f t="shared" si="18"/>
        <v>#N/A</v>
      </c>
      <c r="AC18" s="216"/>
      <c r="AE18" s="94" t="s">
        <v>187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6"/>
      <c r="I19" s="94" t="s">
        <v>185</v>
      </c>
      <c r="J19" s="124" t="e">
        <f t="shared" si="18"/>
        <v>#N/A</v>
      </c>
      <c r="AC19" s="216"/>
      <c r="AE19" s="94" t="s">
        <v>184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7"/>
      <c r="I20" s="97" t="s">
        <v>186</v>
      </c>
      <c r="J20" s="125" t="e">
        <f t="shared" si="18"/>
        <v>#N/A</v>
      </c>
      <c r="AC20" s="216"/>
      <c r="AE20" s="94" t="s">
        <v>185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7"/>
      <c r="AE21" s="97" t="s">
        <v>186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18" t="s">
        <v>203</v>
      </c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20"/>
    </row>
    <row r="23" spans="7:48" x14ac:dyDescent="0.3">
      <c r="G23" s="215" t="s">
        <v>210</v>
      </c>
      <c r="I23" s="91" t="s">
        <v>180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6"/>
      <c r="I24" s="94" t="s">
        <v>77</v>
      </c>
      <c r="J24" s="95" t="e">
        <f>(J2+$J13)*$D$2+(78-((Cooling_Load_Calculation!$D$4*9/5)+32))+(((Cooling_Load_Calculation!G$25*9/5)+32)-85)</f>
        <v>#N/A</v>
      </c>
      <c r="K24" s="95" t="e">
        <f>(K2+$J13)*$D$2+(78-((Cooling_Load_Calculation!$D$4*9/5)+32))+(((Cooling_Load_Calculation!H$25*9/5)+32)-85)</f>
        <v>#N/A</v>
      </c>
      <c r="L24" s="95" t="e">
        <f>(L2+$J13)*$D$2+(78-((Cooling_Load_Calculation!$D$4*9/5)+32))+(((Cooling_Load_Calculation!I$25*9/5)+32)-85)</f>
        <v>#N/A</v>
      </c>
      <c r="M24" s="95" t="e">
        <f>(M2+$J13)*$D$2+(78-((Cooling_Load_Calculation!$D$4*9/5)+32))+(((Cooling_Load_Calculation!J$25*9/5)+32)-85)</f>
        <v>#N/A</v>
      </c>
      <c r="N24" s="95" t="e">
        <f>(N2+$J13)*$D$2+(78-((Cooling_Load_Calculation!$D$4*9/5)+32))+(((Cooling_Load_Calculation!K$25*9/5)+32)-85)</f>
        <v>#N/A</v>
      </c>
      <c r="O24" s="95" t="e">
        <f>(O2+$J13)*$D$2+(78-((Cooling_Load_Calculation!$D$4*9/5)+32))+(((Cooling_Load_Calculation!L$25*9/5)+32)-85)</f>
        <v>#N/A</v>
      </c>
      <c r="P24" s="95" t="e">
        <f>(P2+$J13)*$D$2+(78-((Cooling_Load_Calculation!$D$4*9/5)+32))+(((Cooling_Load_Calculation!M$25*9/5)+32)-85)</f>
        <v>#N/A</v>
      </c>
      <c r="Q24" s="95" t="e">
        <f>(Q2+$J13)*$D$2+(78-((Cooling_Load_Calculation!$D$4*9/5)+32))+(((Cooling_Load_Calculation!N$25*9/5)+32)-85)</f>
        <v>#N/A</v>
      </c>
      <c r="R24" s="95" t="e">
        <f>(R2+$J13)*$D$2+(78-((Cooling_Load_Calculation!$D$4*9/5)+32))+(((Cooling_Load_Calculation!O$25*9/5)+32)-85)</f>
        <v>#N/A</v>
      </c>
      <c r="S24" s="95" t="e">
        <f>(S2+$J13)*$D$2+(78-((Cooling_Load_Calculation!$D$4*9/5)+32))+(((Cooling_Load_Calculation!P$25*9/5)+32)-85)</f>
        <v>#N/A</v>
      </c>
      <c r="T24" s="95" t="e">
        <f>(T2+$J13)*$D$2+(78-((Cooling_Load_Calculation!$D$4*9/5)+32))+(((Cooling_Load_Calculation!Q$25*9/5)+32)-85)</f>
        <v>#N/A</v>
      </c>
      <c r="U24" s="95" t="e">
        <f>(U2+$J13)*$D$2+(78-((Cooling_Load_Calculation!$D$4*9/5)+32))+(((Cooling_Load_Calculation!R$25*9/5)+32)-85)</f>
        <v>#N/A</v>
      </c>
      <c r="V24" s="95" t="e">
        <f>(V2+$J13)*$D$2+(78-((Cooling_Load_Calculation!$D$4*9/5)+32))+(((Cooling_Load_Calculation!S$25*9/5)+32)-85)</f>
        <v>#N/A</v>
      </c>
      <c r="W24" s="95" t="e">
        <f>(W2+$J13)*$D$2+(78-((Cooling_Load_Calculation!$D$4*9/5)+32))+(((Cooling_Load_Calculation!T$25*9/5)+32)-85)</f>
        <v>#N/A</v>
      </c>
      <c r="X24" s="95" t="e">
        <f>(X2+$J13)*$D$2+(78-((Cooling_Load_Calculation!$D$4*9/5)+32))+(((Cooling_Load_Calculation!U$25*9/5)+32)-85)</f>
        <v>#N/A</v>
      </c>
      <c r="Y24" s="95" t="e">
        <f>(Y2+$J13)*$D$2+(78-((Cooling_Load_Calculation!$D$4*9/5)+32))+(((Cooling_Load_Calculation!V$25*9/5)+32)-85)</f>
        <v>#N/A</v>
      </c>
      <c r="Z24" s="96" t="e">
        <f>(Z2+$J13)*$D$2+(78-((Cooling_Load_Calculation!$D$4*9/5)+32))+(((Cooling_Load_Calculation!W$25*9/5)+32)-85)</f>
        <v>#N/A</v>
      </c>
      <c r="AE24" s="94" t="s">
        <v>182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6"/>
      <c r="I25" s="94" t="s">
        <v>182</v>
      </c>
      <c r="J25" s="95" t="e">
        <f>(J3+$J14)*$D$2+(78-((Cooling_Load_Calculation!$D$4*9/5)+32))+(((Cooling_Load_Calculation!G$25*9/5)+32)-85)</f>
        <v>#N/A</v>
      </c>
      <c r="K25" s="95" t="e">
        <f>(K3+$J14)*$D$2+(78-((Cooling_Load_Calculation!$D$4*9/5)+32))+(((Cooling_Load_Calculation!H$25*9/5)+32)-85)</f>
        <v>#N/A</v>
      </c>
      <c r="L25" s="95" t="e">
        <f>(L3+$J14)*$D$2+(78-((Cooling_Load_Calculation!$D$4*9/5)+32))+(((Cooling_Load_Calculation!I$25*9/5)+32)-85)</f>
        <v>#N/A</v>
      </c>
      <c r="M25" s="95" t="e">
        <f>(M3+$J14)*$D$2+(78-((Cooling_Load_Calculation!$D$4*9/5)+32))+(((Cooling_Load_Calculation!J$25*9/5)+32)-85)</f>
        <v>#N/A</v>
      </c>
      <c r="N25" s="95" t="e">
        <f>(N3+$J14)*$D$2+(78-((Cooling_Load_Calculation!$D$4*9/5)+32))+(((Cooling_Load_Calculation!K$25*9/5)+32)-85)</f>
        <v>#N/A</v>
      </c>
      <c r="O25" s="95" t="e">
        <f>(O3+$J14)*$D$2+(78-((Cooling_Load_Calculation!$D$4*9/5)+32))+(((Cooling_Load_Calculation!L$25*9/5)+32)-85)</f>
        <v>#N/A</v>
      </c>
      <c r="P25" s="95" t="e">
        <f>(P3+$J14)*$D$2+(78-((Cooling_Load_Calculation!$D$4*9/5)+32))+(((Cooling_Load_Calculation!M$25*9/5)+32)-85)</f>
        <v>#N/A</v>
      </c>
      <c r="Q25" s="95" t="e">
        <f>(Q3+$J14)*$D$2+(78-((Cooling_Load_Calculation!$D$4*9/5)+32))+(((Cooling_Load_Calculation!N$25*9/5)+32)-85)</f>
        <v>#N/A</v>
      </c>
      <c r="R25" s="95" t="e">
        <f>(R3+$J14)*$D$2+(78-((Cooling_Load_Calculation!$D$4*9/5)+32))+(((Cooling_Load_Calculation!O$25*9/5)+32)-85)</f>
        <v>#N/A</v>
      </c>
      <c r="S25" s="95" t="e">
        <f>(S3+$J14)*$D$2+(78-((Cooling_Load_Calculation!$D$4*9/5)+32))+(((Cooling_Load_Calculation!P$25*9/5)+32)-85)</f>
        <v>#N/A</v>
      </c>
      <c r="T25" s="95" t="e">
        <f>(T3+$J14)*$D$2+(78-((Cooling_Load_Calculation!$D$4*9/5)+32))+(((Cooling_Load_Calculation!Q$25*9/5)+32)-85)</f>
        <v>#N/A</v>
      </c>
      <c r="U25" s="95" t="e">
        <f>(U3+$J14)*$D$2+(78-((Cooling_Load_Calculation!$D$4*9/5)+32))+(((Cooling_Load_Calculation!R$25*9/5)+32)-85)</f>
        <v>#N/A</v>
      </c>
      <c r="V25" s="95" t="e">
        <f>(V3+$J14)*$D$2+(78-((Cooling_Load_Calculation!$D$4*9/5)+32))+(((Cooling_Load_Calculation!S$25*9/5)+32)-85)</f>
        <v>#N/A</v>
      </c>
      <c r="W25" s="95" t="e">
        <f>(W3+$J14)*$D$2+(78-((Cooling_Load_Calculation!$D$4*9/5)+32))+(((Cooling_Load_Calculation!T$25*9/5)+32)-85)</f>
        <v>#N/A</v>
      </c>
      <c r="X25" s="95" t="e">
        <f>(X3+$J14)*$D$2+(78-((Cooling_Load_Calculation!$D$4*9/5)+32))+(((Cooling_Load_Calculation!U$25*9/5)+32)-85)</f>
        <v>#N/A</v>
      </c>
      <c r="Y25" s="95" t="e">
        <f>(Y3+$J14)*$D$2+(78-((Cooling_Load_Calculation!$D$4*9/5)+32))+(((Cooling_Load_Calculation!V$25*9/5)+32)-85)</f>
        <v>#N/A</v>
      </c>
      <c r="Z25" s="96" t="e">
        <f>(Z3+$J14)*$D$2+(78-((Cooling_Load_Calculation!$D$4*9/5)+32))+(((Cooling_Load_Calculation!W$25*9/5)+32)-85)</f>
        <v>#N/A</v>
      </c>
      <c r="AE25" s="94" t="s">
        <v>181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6"/>
      <c r="I26" s="94" t="s">
        <v>181</v>
      </c>
      <c r="J26" s="95" t="e">
        <f>(J4+$J15)*$D$2+(78-((Cooling_Load_Calculation!$D$4*9/5)+32))+(((Cooling_Load_Calculation!G$25*9/5)+32)-85)</f>
        <v>#N/A</v>
      </c>
      <c r="K26" s="95" t="e">
        <f>(K4+$J15)*$D$2+(78-((Cooling_Load_Calculation!$D$4*9/5)+32))+(((Cooling_Load_Calculation!H$25*9/5)+32)-85)</f>
        <v>#N/A</v>
      </c>
      <c r="L26" s="95" t="e">
        <f>(L4+$J15)*$D$2+(78-((Cooling_Load_Calculation!$D$4*9/5)+32))+(((Cooling_Load_Calculation!I$25*9/5)+32)-85)</f>
        <v>#N/A</v>
      </c>
      <c r="M26" s="95" t="e">
        <f>(M4+$J15)*$D$2+(78-((Cooling_Load_Calculation!$D$4*9/5)+32))+(((Cooling_Load_Calculation!J$25*9/5)+32)-85)</f>
        <v>#N/A</v>
      </c>
      <c r="N26" s="95" t="e">
        <f>(N4+$J15)*$D$2+(78-((Cooling_Load_Calculation!$D$4*9/5)+32))+(((Cooling_Load_Calculation!K$25*9/5)+32)-85)</f>
        <v>#N/A</v>
      </c>
      <c r="O26" s="95" t="e">
        <f>(O4+$J15)*$D$2+(78-((Cooling_Load_Calculation!$D$4*9/5)+32))+(((Cooling_Load_Calculation!L$25*9/5)+32)-85)</f>
        <v>#N/A</v>
      </c>
      <c r="P26" s="95" t="e">
        <f>(P4+$J15)*$D$2+(78-((Cooling_Load_Calculation!$D$4*9/5)+32))+(((Cooling_Load_Calculation!M$25*9/5)+32)-85)</f>
        <v>#N/A</v>
      </c>
      <c r="Q26" s="95" t="e">
        <f>(Q4+$J15)*$D$2+(78-((Cooling_Load_Calculation!$D$4*9/5)+32))+(((Cooling_Load_Calculation!N$25*9/5)+32)-85)</f>
        <v>#N/A</v>
      </c>
      <c r="R26" s="95" t="e">
        <f>(R4+$J15)*$D$2+(78-((Cooling_Load_Calculation!$D$4*9/5)+32))+(((Cooling_Load_Calculation!O$25*9/5)+32)-85)</f>
        <v>#N/A</v>
      </c>
      <c r="S26" s="95" t="e">
        <f>(S4+$J15)*$D$2+(78-((Cooling_Load_Calculation!$D$4*9/5)+32))+(((Cooling_Load_Calculation!P$25*9/5)+32)-85)</f>
        <v>#N/A</v>
      </c>
      <c r="T26" s="95" t="e">
        <f>(T4+$J15)*$D$2+(78-((Cooling_Load_Calculation!$D$4*9/5)+32))+(((Cooling_Load_Calculation!Q$25*9/5)+32)-85)</f>
        <v>#N/A</v>
      </c>
      <c r="U26" s="95" t="e">
        <f>(U4+$J15)*$D$2+(78-((Cooling_Load_Calculation!$D$4*9/5)+32))+(((Cooling_Load_Calculation!R$25*9/5)+32)-85)</f>
        <v>#N/A</v>
      </c>
      <c r="V26" s="95" t="e">
        <f>(V4+$J15)*$D$2+(78-((Cooling_Load_Calculation!$D$4*9/5)+32))+(((Cooling_Load_Calculation!S$25*9/5)+32)-85)</f>
        <v>#N/A</v>
      </c>
      <c r="W26" s="95" t="e">
        <f>(W4+$J15)*$D$2+(78-((Cooling_Load_Calculation!$D$4*9/5)+32))+(((Cooling_Load_Calculation!T$25*9/5)+32)-85)</f>
        <v>#N/A</v>
      </c>
      <c r="X26" s="95" t="e">
        <f>(X4+$J15)*$D$2+(78-((Cooling_Load_Calculation!$D$4*9/5)+32))+(((Cooling_Load_Calculation!U$25*9/5)+32)-85)</f>
        <v>#N/A</v>
      </c>
      <c r="Y26" s="95" t="e">
        <f>(Y4+$J15)*$D$2+(78-((Cooling_Load_Calculation!$D$4*9/5)+32))+(((Cooling_Load_Calculation!V$25*9/5)+32)-85)</f>
        <v>#N/A</v>
      </c>
      <c r="Z26" s="96" t="e">
        <f>(Z4+$J15)*$D$2+(78-((Cooling_Load_Calculation!$D$4*9/5)+32))+(((Cooling_Load_Calculation!W$25*9/5)+32)-85)</f>
        <v>#N/A</v>
      </c>
      <c r="AE26" s="94" t="s">
        <v>183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6"/>
      <c r="I27" s="94" t="s">
        <v>183</v>
      </c>
      <c r="J27" s="95" t="e">
        <f>(J5+$J16)*$D$2+(78-((Cooling_Load_Calculation!$D$4*9/5)+32))+(((Cooling_Load_Calculation!G$25*9/5)+32)-85)</f>
        <v>#N/A</v>
      </c>
      <c r="K27" s="95" t="e">
        <f>(K5+$J16)*$D$2+(78-((Cooling_Load_Calculation!$D$4*9/5)+32))+(((Cooling_Load_Calculation!H$25*9/5)+32)-85)</f>
        <v>#N/A</v>
      </c>
      <c r="L27" s="95" t="e">
        <f>(L5+$J16)*$D$2+(78-((Cooling_Load_Calculation!$D$4*9/5)+32))+(((Cooling_Load_Calculation!I$25*9/5)+32)-85)</f>
        <v>#N/A</v>
      </c>
      <c r="M27" s="95" t="e">
        <f>(M5+$J16)*$D$2+(78-((Cooling_Load_Calculation!$D$4*9/5)+32))+(((Cooling_Load_Calculation!J$25*9/5)+32)-85)</f>
        <v>#N/A</v>
      </c>
      <c r="N27" s="95" t="e">
        <f>(N5+$J16)*$D$2+(78-((Cooling_Load_Calculation!$D$4*9/5)+32))+(((Cooling_Load_Calculation!K$25*9/5)+32)-85)</f>
        <v>#N/A</v>
      </c>
      <c r="O27" s="95" t="e">
        <f>(O5+$J16)*$D$2+(78-((Cooling_Load_Calculation!$D$4*9/5)+32))+(((Cooling_Load_Calculation!L$25*9/5)+32)-85)</f>
        <v>#N/A</v>
      </c>
      <c r="P27" s="95" t="e">
        <f>(P5+$J16)*$D$2+(78-((Cooling_Load_Calculation!$D$4*9/5)+32))+(((Cooling_Load_Calculation!M$25*9/5)+32)-85)</f>
        <v>#N/A</v>
      </c>
      <c r="Q27" s="95" t="e">
        <f>(Q5+$J16)*$D$2+(78-((Cooling_Load_Calculation!$D$4*9/5)+32))+(((Cooling_Load_Calculation!N$25*9/5)+32)-85)</f>
        <v>#N/A</v>
      </c>
      <c r="R27" s="95" t="e">
        <f>(R5+$J16)*$D$2+(78-((Cooling_Load_Calculation!$D$4*9/5)+32))+(((Cooling_Load_Calculation!O$25*9/5)+32)-85)</f>
        <v>#N/A</v>
      </c>
      <c r="S27" s="95" t="e">
        <f>(S5+$J16)*$D$2+(78-((Cooling_Load_Calculation!$D$4*9/5)+32))+(((Cooling_Load_Calculation!P$25*9/5)+32)-85)</f>
        <v>#N/A</v>
      </c>
      <c r="T27" s="95" t="e">
        <f>(T5+$J16)*$D$2+(78-((Cooling_Load_Calculation!$D$4*9/5)+32))+(((Cooling_Load_Calculation!Q$25*9/5)+32)-85)</f>
        <v>#N/A</v>
      </c>
      <c r="U27" s="95" t="e">
        <f>(U5+$J16)*$D$2+(78-((Cooling_Load_Calculation!$D$4*9/5)+32))+(((Cooling_Load_Calculation!R$25*9/5)+32)-85)</f>
        <v>#N/A</v>
      </c>
      <c r="V27" s="95" t="e">
        <f>(V5+$J16)*$D$2+(78-((Cooling_Load_Calculation!$D$4*9/5)+32))+(((Cooling_Load_Calculation!S$25*9/5)+32)-85)</f>
        <v>#N/A</v>
      </c>
      <c r="W27" s="95" t="e">
        <f>(W5+$J16)*$D$2+(78-((Cooling_Load_Calculation!$D$4*9/5)+32))+(((Cooling_Load_Calculation!T$25*9/5)+32)-85)</f>
        <v>#N/A</v>
      </c>
      <c r="X27" s="95" t="e">
        <f>(X5+$J16)*$D$2+(78-((Cooling_Load_Calculation!$D$4*9/5)+32))+(((Cooling_Load_Calculation!U$25*9/5)+32)-85)</f>
        <v>#N/A</v>
      </c>
      <c r="Y27" s="95" t="e">
        <f>(Y5+$J16)*$D$2+(78-((Cooling_Load_Calculation!$D$4*9/5)+32))+(((Cooling_Load_Calculation!V$25*9/5)+32)-85)</f>
        <v>#N/A</v>
      </c>
      <c r="Z27" s="96" t="e">
        <f>(Z5+$J16)*$D$2+(78-((Cooling_Load_Calculation!$D$4*9/5)+32))+(((Cooling_Load_Calculation!W$25*9/5)+32)-85)</f>
        <v>#N/A</v>
      </c>
      <c r="AE27" s="94" t="s">
        <v>187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6"/>
      <c r="I28" s="94" t="s">
        <v>187</v>
      </c>
      <c r="J28" s="95" t="e">
        <f>(J6+$J17)*$D$2+(78-((Cooling_Load_Calculation!$D$4*9/5)+32))+(((Cooling_Load_Calculation!G$25*9/5)+32)-85)</f>
        <v>#N/A</v>
      </c>
      <c r="K28" s="95" t="e">
        <f>(K6+$J17)*$D$2+(78-((Cooling_Load_Calculation!$D$4*9/5)+32))+(((Cooling_Load_Calculation!H$25*9/5)+32)-85)</f>
        <v>#N/A</v>
      </c>
      <c r="L28" s="95" t="e">
        <f>(L6+$J17)*$D$2+(78-((Cooling_Load_Calculation!$D$4*9/5)+32))+(((Cooling_Load_Calculation!I$25*9/5)+32)-85)</f>
        <v>#N/A</v>
      </c>
      <c r="M28" s="95" t="e">
        <f>(M6+$J17)*$D$2+(78-((Cooling_Load_Calculation!$D$4*9/5)+32))+(((Cooling_Load_Calculation!J$25*9/5)+32)-85)</f>
        <v>#N/A</v>
      </c>
      <c r="N28" s="95" t="e">
        <f>(N6+$J17)*$D$2+(78-((Cooling_Load_Calculation!$D$4*9/5)+32))+(((Cooling_Load_Calculation!K$25*9/5)+32)-85)</f>
        <v>#N/A</v>
      </c>
      <c r="O28" s="95" t="e">
        <f>(O6+$J17)*$D$2+(78-((Cooling_Load_Calculation!$D$4*9/5)+32))+(((Cooling_Load_Calculation!L$25*9/5)+32)-85)</f>
        <v>#N/A</v>
      </c>
      <c r="P28" s="95" t="e">
        <f>(P6+$J17)*$D$2+(78-((Cooling_Load_Calculation!$D$4*9/5)+32))+(((Cooling_Load_Calculation!M$25*9/5)+32)-85)</f>
        <v>#N/A</v>
      </c>
      <c r="Q28" s="95" t="e">
        <f>(Q6+$J17)*$D$2+(78-((Cooling_Load_Calculation!$D$4*9/5)+32))+(((Cooling_Load_Calculation!N$25*9/5)+32)-85)</f>
        <v>#N/A</v>
      </c>
      <c r="R28" s="95" t="e">
        <f>(R6+$J17)*$D$2+(78-((Cooling_Load_Calculation!$D$4*9/5)+32))+(((Cooling_Load_Calculation!O$25*9/5)+32)-85)</f>
        <v>#N/A</v>
      </c>
      <c r="S28" s="95" t="e">
        <f>(S6+$J17)*$D$2+(78-((Cooling_Load_Calculation!$D$4*9/5)+32))+(((Cooling_Load_Calculation!P$25*9/5)+32)-85)</f>
        <v>#N/A</v>
      </c>
      <c r="T28" s="95" t="e">
        <f>(T6+$J17)*$D$2+(78-((Cooling_Load_Calculation!$D$4*9/5)+32))+(((Cooling_Load_Calculation!Q$25*9/5)+32)-85)</f>
        <v>#N/A</v>
      </c>
      <c r="U28" s="95" t="e">
        <f>(U6+$J17)*$D$2+(78-((Cooling_Load_Calculation!$D$4*9/5)+32))+(((Cooling_Load_Calculation!R$25*9/5)+32)-85)</f>
        <v>#N/A</v>
      </c>
      <c r="V28" s="95" t="e">
        <f>(V6+$J17)*$D$2+(78-((Cooling_Load_Calculation!$D$4*9/5)+32))+(((Cooling_Load_Calculation!S$25*9/5)+32)-85)</f>
        <v>#N/A</v>
      </c>
      <c r="W28" s="95" t="e">
        <f>(W6+$J17)*$D$2+(78-((Cooling_Load_Calculation!$D$4*9/5)+32))+(((Cooling_Load_Calculation!T$25*9/5)+32)-85)</f>
        <v>#N/A</v>
      </c>
      <c r="X28" s="95" t="e">
        <f>(X6+$J17)*$D$2+(78-((Cooling_Load_Calculation!$D$4*9/5)+32))+(((Cooling_Load_Calculation!U$25*9/5)+32)-85)</f>
        <v>#N/A</v>
      </c>
      <c r="Y28" s="95" t="e">
        <f>(Y6+$J17)*$D$2+(78-((Cooling_Load_Calculation!$D$4*9/5)+32))+(((Cooling_Load_Calculation!V$25*9/5)+32)-85)</f>
        <v>#N/A</v>
      </c>
      <c r="Z28" s="96" t="e">
        <f>(Z6+$J17)*$D$2+(78-((Cooling_Load_Calculation!$D$4*9/5)+32))+(((Cooling_Load_Calculation!W$25*9/5)+32)-85)</f>
        <v>#N/A</v>
      </c>
      <c r="AE28" s="94" t="s">
        <v>184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6"/>
      <c r="I29" s="94" t="s">
        <v>184</v>
      </c>
      <c r="J29" s="95" t="e">
        <f>(J7+$J18)*$D$2+(78-((Cooling_Load_Calculation!$D$4*9/5)+32))+(((Cooling_Load_Calculation!G$25*9/5)+32)-85)</f>
        <v>#N/A</v>
      </c>
      <c r="K29" s="95" t="e">
        <f>(K7+$J18)*$D$2+(78-((Cooling_Load_Calculation!$D$4*9/5)+32))+(((Cooling_Load_Calculation!H$25*9/5)+32)-85)</f>
        <v>#N/A</v>
      </c>
      <c r="L29" s="95" t="e">
        <f>(L7+$J18)*$D$2+(78-((Cooling_Load_Calculation!$D$4*9/5)+32))+(((Cooling_Load_Calculation!I$25*9/5)+32)-85)</f>
        <v>#N/A</v>
      </c>
      <c r="M29" s="95" t="e">
        <f>(M7+$J18)*$D$2+(78-((Cooling_Load_Calculation!$D$4*9/5)+32))+(((Cooling_Load_Calculation!J$25*9/5)+32)-85)</f>
        <v>#N/A</v>
      </c>
      <c r="N29" s="95" t="e">
        <f>(N7+$J18)*$D$2+(78-((Cooling_Load_Calculation!$D$4*9/5)+32))+(((Cooling_Load_Calculation!K$25*9/5)+32)-85)</f>
        <v>#N/A</v>
      </c>
      <c r="O29" s="95" t="e">
        <f>(O7+$J18)*$D$2+(78-((Cooling_Load_Calculation!$D$4*9/5)+32))+(((Cooling_Load_Calculation!L$25*9/5)+32)-85)</f>
        <v>#N/A</v>
      </c>
      <c r="P29" s="95" t="e">
        <f>(P7+$J18)*$D$2+(78-((Cooling_Load_Calculation!$D$4*9/5)+32))+(((Cooling_Load_Calculation!M$25*9/5)+32)-85)</f>
        <v>#N/A</v>
      </c>
      <c r="Q29" s="95" t="e">
        <f>(Q7+$J18)*$D$2+(78-((Cooling_Load_Calculation!$D$4*9/5)+32))+(((Cooling_Load_Calculation!N$25*9/5)+32)-85)</f>
        <v>#N/A</v>
      </c>
      <c r="R29" s="95" t="e">
        <f>(R7+$J18)*$D$2+(78-((Cooling_Load_Calculation!$D$4*9/5)+32))+(((Cooling_Load_Calculation!O$25*9/5)+32)-85)</f>
        <v>#N/A</v>
      </c>
      <c r="S29" s="95" t="e">
        <f>(S7+$J18)*$D$2+(78-((Cooling_Load_Calculation!$D$4*9/5)+32))+(((Cooling_Load_Calculation!P$25*9/5)+32)-85)</f>
        <v>#N/A</v>
      </c>
      <c r="T29" s="95" t="e">
        <f>(T7+$J18)*$D$2+(78-((Cooling_Load_Calculation!$D$4*9/5)+32))+(((Cooling_Load_Calculation!Q$25*9/5)+32)-85)</f>
        <v>#N/A</v>
      </c>
      <c r="U29" s="95" t="e">
        <f>(U7+$J18)*$D$2+(78-((Cooling_Load_Calculation!$D$4*9/5)+32))+(((Cooling_Load_Calculation!R$25*9/5)+32)-85)</f>
        <v>#N/A</v>
      </c>
      <c r="V29" s="95" t="e">
        <f>(V7+$J18)*$D$2+(78-((Cooling_Load_Calculation!$D$4*9/5)+32))+(((Cooling_Load_Calculation!S$25*9/5)+32)-85)</f>
        <v>#N/A</v>
      </c>
      <c r="W29" s="95" t="e">
        <f>(W7+$J18)*$D$2+(78-((Cooling_Load_Calculation!$D$4*9/5)+32))+(((Cooling_Load_Calculation!T$25*9/5)+32)-85)</f>
        <v>#N/A</v>
      </c>
      <c r="X29" s="95" t="e">
        <f>(X7+$J18)*$D$2+(78-((Cooling_Load_Calculation!$D$4*9/5)+32))+(((Cooling_Load_Calculation!U$25*9/5)+32)-85)</f>
        <v>#N/A</v>
      </c>
      <c r="Y29" s="95" t="e">
        <f>(Y7+$J18)*$D$2+(78-((Cooling_Load_Calculation!$D$4*9/5)+32))+(((Cooling_Load_Calculation!V$25*9/5)+32)-85)</f>
        <v>#N/A</v>
      </c>
      <c r="Z29" s="96" t="e">
        <f>(Z7+$J18)*$D$2+(78-((Cooling_Load_Calculation!$D$4*9/5)+32))+(((Cooling_Load_Calculation!W$25*9/5)+32)-85)</f>
        <v>#N/A</v>
      </c>
      <c r="AE29" s="94" t="s">
        <v>185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6"/>
      <c r="I30" s="94" t="s">
        <v>185</v>
      </c>
      <c r="J30" s="95" t="e">
        <f>(J8+$J19)*$D$2+(78-((Cooling_Load_Calculation!$D$4*9/5)+32))+(((Cooling_Load_Calculation!G$25*9/5)+32)-85)</f>
        <v>#N/A</v>
      </c>
      <c r="K30" s="95" t="e">
        <f>(K8+$J19)*$D$2+(78-((Cooling_Load_Calculation!$D$4*9/5)+32))+(((Cooling_Load_Calculation!H$25*9/5)+32)-85)</f>
        <v>#N/A</v>
      </c>
      <c r="L30" s="95" t="e">
        <f>(L8+$J19)*$D$2+(78-((Cooling_Load_Calculation!$D$4*9/5)+32))+(((Cooling_Load_Calculation!I$25*9/5)+32)-85)</f>
        <v>#N/A</v>
      </c>
      <c r="M30" s="95" t="e">
        <f>(M8+$J19)*$D$2+(78-((Cooling_Load_Calculation!$D$4*9/5)+32))+(((Cooling_Load_Calculation!J$25*9/5)+32)-85)</f>
        <v>#N/A</v>
      </c>
      <c r="N30" s="95" t="e">
        <f>(N8+$J19)*$D$2+(78-((Cooling_Load_Calculation!$D$4*9/5)+32))+(((Cooling_Load_Calculation!K$25*9/5)+32)-85)</f>
        <v>#N/A</v>
      </c>
      <c r="O30" s="95" t="e">
        <f>(O8+$J19)*$D$2+(78-((Cooling_Load_Calculation!$D$4*9/5)+32))+(((Cooling_Load_Calculation!L$25*9/5)+32)-85)</f>
        <v>#N/A</v>
      </c>
      <c r="P30" s="95" t="e">
        <f>(P8+$J19)*$D$2+(78-((Cooling_Load_Calculation!$D$4*9/5)+32))+(((Cooling_Load_Calculation!M$25*9/5)+32)-85)</f>
        <v>#N/A</v>
      </c>
      <c r="Q30" s="95" t="e">
        <f>(Q8+$J19)*$D$2+(78-((Cooling_Load_Calculation!$D$4*9/5)+32))+(((Cooling_Load_Calculation!N$25*9/5)+32)-85)</f>
        <v>#N/A</v>
      </c>
      <c r="R30" s="95" t="e">
        <f>(R8+$J19)*$D$2+(78-((Cooling_Load_Calculation!$D$4*9/5)+32))+(((Cooling_Load_Calculation!O$25*9/5)+32)-85)</f>
        <v>#N/A</v>
      </c>
      <c r="S30" s="95" t="e">
        <f>(S8+$J19)*$D$2+(78-((Cooling_Load_Calculation!$D$4*9/5)+32))+(((Cooling_Load_Calculation!P$25*9/5)+32)-85)</f>
        <v>#N/A</v>
      </c>
      <c r="T30" s="95" t="e">
        <f>(T8+$J19)*$D$2+(78-((Cooling_Load_Calculation!$D$4*9/5)+32))+(((Cooling_Load_Calculation!Q$25*9/5)+32)-85)</f>
        <v>#N/A</v>
      </c>
      <c r="U30" s="95" t="e">
        <f>(U8+$J19)*$D$2+(78-((Cooling_Load_Calculation!$D$4*9/5)+32))+(((Cooling_Load_Calculation!R$25*9/5)+32)-85)</f>
        <v>#N/A</v>
      </c>
      <c r="V30" s="95" t="e">
        <f>(V8+$J19)*$D$2+(78-((Cooling_Load_Calculation!$D$4*9/5)+32))+(((Cooling_Load_Calculation!S$25*9/5)+32)-85)</f>
        <v>#N/A</v>
      </c>
      <c r="W30" s="95" t="e">
        <f>(W8+$J19)*$D$2+(78-((Cooling_Load_Calculation!$D$4*9/5)+32))+(((Cooling_Load_Calculation!T$25*9/5)+32)-85)</f>
        <v>#N/A</v>
      </c>
      <c r="X30" s="95" t="e">
        <f>(X8+$J19)*$D$2+(78-((Cooling_Load_Calculation!$D$4*9/5)+32))+(((Cooling_Load_Calculation!U$25*9/5)+32)-85)</f>
        <v>#N/A</v>
      </c>
      <c r="Y30" s="95" t="e">
        <f>(Y8+$J19)*$D$2+(78-((Cooling_Load_Calculation!$D$4*9/5)+32))+(((Cooling_Load_Calculation!V$25*9/5)+32)-85)</f>
        <v>#N/A</v>
      </c>
      <c r="Z30" s="96" t="e">
        <f>(Z8+$J19)*$D$2+(78-((Cooling_Load_Calculation!$D$4*9/5)+32))+(((Cooling_Load_Calculation!W$25*9/5)+32)-85)</f>
        <v>#N/A</v>
      </c>
      <c r="AE30" s="97" t="s">
        <v>186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7"/>
      <c r="I31" s="97" t="s">
        <v>186</v>
      </c>
      <c r="J31" s="98" t="e">
        <f>(J9+$J20)*$D$2+(78-((Cooling_Load_Calculation!$D$4*9/5)+32))+(((Cooling_Load_Calculation!G$25*9/5)+32)-85)</f>
        <v>#N/A</v>
      </c>
      <c r="K31" s="98" t="e">
        <f>(K9+$J20)*$D$2+(78-((Cooling_Load_Calculation!$D$4*9/5)+32))+(((Cooling_Load_Calculation!H$25*9/5)+32)-85)</f>
        <v>#N/A</v>
      </c>
      <c r="L31" s="98" t="e">
        <f>(L9+$J20)*$D$2+(78-((Cooling_Load_Calculation!$D$4*9/5)+32))+(((Cooling_Load_Calculation!I$25*9/5)+32)-85)</f>
        <v>#N/A</v>
      </c>
      <c r="M31" s="98" t="e">
        <f>(M9+$J20)*$D$2+(78-((Cooling_Load_Calculation!$D$4*9/5)+32))+(((Cooling_Load_Calculation!J$25*9/5)+32)-85)</f>
        <v>#N/A</v>
      </c>
      <c r="N31" s="98" t="e">
        <f>(N9+$J20)*$D$2+(78-((Cooling_Load_Calculation!$D$4*9/5)+32))+(((Cooling_Load_Calculation!K$25*9/5)+32)-85)</f>
        <v>#N/A</v>
      </c>
      <c r="O31" s="98" t="e">
        <f>(O9+$J20)*$D$2+(78-((Cooling_Load_Calculation!$D$4*9/5)+32))+(((Cooling_Load_Calculation!L$25*9/5)+32)-85)</f>
        <v>#N/A</v>
      </c>
      <c r="P31" s="98" t="e">
        <f>(P9+$J20)*$D$2+(78-((Cooling_Load_Calculation!$D$4*9/5)+32))+(((Cooling_Load_Calculation!M$25*9/5)+32)-85)</f>
        <v>#N/A</v>
      </c>
      <c r="Q31" s="98" t="e">
        <f>(Q9+$J20)*$D$2+(78-((Cooling_Load_Calculation!$D$4*9/5)+32))+(((Cooling_Load_Calculation!N$25*9/5)+32)-85)</f>
        <v>#N/A</v>
      </c>
      <c r="R31" s="98" t="e">
        <f>(R9+$J20)*$D$2+(78-((Cooling_Load_Calculation!$D$4*9/5)+32))+(((Cooling_Load_Calculation!O$25*9/5)+32)-85)</f>
        <v>#N/A</v>
      </c>
      <c r="S31" s="98" t="e">
        <f>(S9+$J20)*$D$2+(78-((Cooling_Load_Calculation!$D$4*9/5)+32))+(((Cooling_Load_Calculation!P$25*9/5)+32)-85)</f>
        <v>#N/A</v>
      </c>
      <c r="T31" s="98" t="e">
        <f>(T9+$J20)*$D$2+(78-((Cooling_Load_Calculation!$D$4*9/5)+32))+(((Cooling_Load_Calculation!Q$25*9/5)+32)-85)</f>
        <v>#N/A</v>
      </c>
      <c r="U31" s="98" t="e">
        <f>(U9+$J20)*$D$2+(78-((Cooling_Load_Calculation!$D$4*9/5)+32))+(((Cooling_Load_Calculation!R$25*9/5)+32)-85)</f>
        <v>#N/A</v>
      </c>
      <c r="V31" s="98" t="e">
        <f>(V9+$J20)*$D$2+(78-((Cooling_Load_Calculation!$D$4*9/5)+32))+(((Cooling_Load_Calculation!S$25*9/5)+32)-85)</f>
        <v>#N/A</v>
      </c>
      <c r="W31" s="98" t="e">
        <f>(W9+$J20)*$D$2+(78-((Cooling_Load_Calculation!$D$4*9/5)+32))+(((Cooling_Load_Calculation!T$25*9/5)+32)-85)</f>
        <v>#N/A</v>
      </c>
      <c r="X31" s="98" t="e">
        <f>(X9+$J20)*$D$2+(78-((Cooling_Load_Calculation!$D$4*9/5)+32))+(((Cooling_Load_Calculation!U$25*9/5)+32)-85)</f>
        <v>#N/A</v>
      </c>
      <c r="Y31" s="98" t="e">
        <f>(Y9+$J20)*$D$2+(78-((Cooling_Load_Calculation!$D$4*9/5)+32))+(((Cooling_Load_Calculation!V$25*9/5)+32)-85)</f>
        <v>#N/A</v>
      </c>
      <c r="Z31" s="99" t="e">
        <f>(Z9+$J20)*$D$2+(78-((Cooling_Load_Calculation!$D$4*9/5)+32))+(((Cooling_Load_Calculation!W$25*9/5)+32)-85)</f>
        <v>#N/A</v>
      </c>
      <c r="AE31" s="122"/>
      <c r="AF31" s="218" t="s">
        <v>204</v>
      </c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20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182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181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183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187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184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185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186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18" t="s">
        <v>205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19"/>
      <c r="AU40" s="219"/>
      <c r="AV40" s="220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182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181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183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187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184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185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186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18" t="s">
        <v>206</v>
      </c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20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182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181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183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187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184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185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186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18" t="s">
        <v>207</v>
      </c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20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182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181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183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187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184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185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186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18" t="s">
        <v>208</v>
      </c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20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182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181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183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187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184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185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186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2" t="s">
        <v>193</v>
      </c>
      <c r="F1" s="91" t="s">
        <v>194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5" t="s">
        <v>195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4"/>
      <c r="F2" s="111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Z2" s="217"/>
      <c r="AB2" s="97" t="s">
        <v>196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179</v>
      </c>
      <c r="B3" s="106"/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2" t="s">
        <v>197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4"/>
      <c r="F5" s="111" t="s">
        <v>196</v>
      </c>
      <c r="G5" s="112" t="e">
        <f>_xlfn.IFS($B$3=1,$AC$2,$B$3=2,$AD$2,$B$3=3,$AE$2,$B$3=4,$AF$2,$B$3=5,$AG$2,$B$3=6,$AH$2,$B$3=7,$AI$2,$B$3=8,$AJ$2,$B$3=9,$AK$2,$B$3=10,$AL$2,$B$3=11,$AM$2,$B$3=12,$AN$2)</f>
        <v>#N/A</v>
      </c>
      <c r="H5" s="112" t="e">
        <f t="shared" ref="H5:W5" si="0">_xlfn.IFS($B$3=1,$AC$2,$B$3=2,$AD$2,$B$3=3,$AE$2,$B$3=4,$AF$2,$B$3=5,$AG$2,$B$3=6,$AH$2,$B$3=7,$AI$2,$B$3=8,$AJ$2,$B$3=9,$AK$2,$B$3=10,$AL$2,$B$3=11,$AM$2,$B$3=12,$AN$2)</f>
        <v>#N/A</v>
      </c>
      <c r="I5" s="112" t="e">
        <f t="shared" si="0"/>
        <v>#N/A</v>
      </c>
      <c r="J5" s="112" t="e">
        <f t="shared" si="0"/>
        <v>#N/A</v>
      </c>
      <c r="K5" s="112" t="e">
        <f t="shared" si="0"/>
        <v>#N/A</v>
      </c>
      <c r="L5" s="112" t="e">
        <f t="shared" si="0"/>
        <v>#N/A</v>
      </c>
      <c r="M5" s="112" t="e">
        <f t="shared" si="0"/>
        <v>#N/A</v>
      </c>
      <c r="N5" s="112" t="e">
        <f t="shared" si="0"/>
        <v>#N/A</v>
      </c>
      <c r="O5" s="112" t="e">
        <f t="shared" si="0"/>
        <v>#N/A</v>
      </c>
      <c r="P5" s="112" t="e">
        <f t="shared" si="0"/>
        <v>#N/A</v>
      </c>
      <c r="Q5" s="112" t="e">
        <f t="shared" si="0"/>
        <v>#N/A</v>
      </c>
      <c r="R5" s="112" t="e">
        <f t="shared" si="0"/>
        <v>#N/A</v>
      </c>
      <c r="S5" s="112" t="e">
        <f t="shared" si="0"/>
        <v>#N/A</v>
      </c>
      <c r="T5" s="112" t="e">
        <f t="shared" si="0"/>
        <v>#N/A</v>
      </c>
      <c r="U5" s="112" t="e">
        <f t="shared" si="0"/>
        <v>#N/A</v>
      </c>
      <c r="V5" s="112" t="e">
        <f t="shared" si="0"/>
        <v>#N/A</v>
      </c>
      <c r="W5" s="113" t="e">
        <f t="shared" si="0"/>
        <v>#N/A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2" t="s">
        <v>198</v>
      </c>
      <c r="F7" s="91" t="s">
        <v>194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4"/>
      <c r="F8" s="111">
        <f>F2</f>
        <v>0</v>
      </c>
      <c r="G8" s="112" t="e">
        <f>(G2+G5)*$B$2+(78-((Cooling_Load_Calculation!$D$4*9/5)+32))+(((Cooling_Load_Calculation!G25*9/5)+32)-85)</f>
        <v>#N/A</v>
      </c>
      <c r="H8" s="112" t="e">
        <f>(H2+H5)*$B$2+(78-((Cooling_Load_Calculation!$D$4*9/5)+32))+(((Cooling_Load_Calculation!H25*9/5)+32)-85)</f>
        <v>#N/A</v>
      </c>
      <c r="I8" s="112" t="e">
        <f>(I2+I5)*$B$2+(78-((Cooling_Load_Calculation!$D$4*9/5)+32))+(((Cooling_Load_Calculation!I25*9/5)+32)-85)</f>
        <v>#N/A</v>
      </c>
      <c r="J8" s="112" t="e">
        <f>(J2+J5)*$B$2+(78-((Cooling_Load_Calculation!$D$4*9/5)+32))+(((Cooling_Load_Calculation!J25*9/5)+32)-85)</f>
        <v>#N/A</v>
      </c>
      <c r="K8" s="112" t="e">
        <f>(K2+K5)*$B$2+(78-((Cooling_Load_Calculation!$D$4*9/5)+32))+(((Cooling_Load_Calculation!K25*9/5)+32)-85)</f>
        <v>#N/A</v>
      </c>
      <c r="L8" s="112" t="e">
        <f>(L2+L5)*$B$2+(78-((Cooling_Load_Calculation!$D$4*9/5)+32))+(((Cooling_Load_Calculation!L25*9/5)+32)-85)</f>
        <v>#N/A</v>
      </c>
      <c r="M8" s="112" t="e">
        <f>(M2+M5)*$B$2+(78-((Cooling_Load_Calculation!$D$4*9/5)+32))+(((Cooling_Load_Calculation!M25*9/5)+32)-85)</f>
        <v>#N/A</v>
      </c>
      <c r="N8" s="112" t="e">
        <f>(N2+N5)*$B$2+(78-((Cooling_Load_Calculation!$D$4*9/5)+32))+(((Cooling_Load_Calculation!N25*9/5)+32)-85)</f>
        <v>#N/A</v>
      </c>
      <c r="O8" s="112" t="e">
        <f>(O2+O5)*$B$2+(78-((Cooling_Load_Calculation!$D$4*9/5)+32))+(((Cooling_Load_Calculation!O25*9/5)+32)-85)</f>
        <v>#N/A</v>
      </c>
      <c r="P8" s="112" t="e">
        <f>(P2+P5)*$B$2+(78-((Cooling_Load_Calculation!$D$4*9/5)+32))+(((Cooling_Load_Calculation!P25*9/5)+32)-85)</f>
        <v>#N/A</v>
      </c>
      <c r="Q8" s="112" t="e">
        <f>(Q2+Q5)*$B$2+(78-((Cooling_Load_Calculation!$D$4*9/5)+32))+(((Cooling_Load_Calculation!Q25*9/5)+32)-85)</f>
        <v>#N/A</v>
      </c>
      <c r="R8" s="112" t="e">
        <f>(R2+R5)*$B$2+(78-((Cooling_Load_Calculation!$D$4*9/5)+32))+(((Cooling_Load_Calculation!R25*9/5)+32)-85)</f>
        <v>#N/A</v>
      </c>
      <c r="S8" s="112" t="e">
        <f>(S2+S5)*$B$2+(78-((Cooling_Load_Calculation!$D$4*9/5)+32))+(((Cooling_Load_Calculation!S25*9/5)+32)-85)</f>
        <v>#N/A</v>
      </c>
      <c r="T8" s="112" t="e">
        <f>(T2+T5)*$B$2+(78-((Cooling_Load_Calculation!$D$4*9/5)+32))+(((Cooling_Load_Calculation!T25*9/5)+32)-85)</f>
        <v>#N/A</v>
      </c>
      <c r="U8" s="112" t="e">
        <f>(U2+U5)*$B$2+(78-((Cooling_Load_Calculation!$D$4*9/5)+32))+(((Cooling_Load_Calculation!U25*9/5)+32)-85)</f>
        <v>#N/A</v>
      </c>
      <c r="V8" s="112" t="e">
        <f>(V2+V5)*$B$2+(78-((Cooling_Load_Calculation!$D$4*9/5)+32))+(((Cooling_Load_Calculation!V25*9/5)+32)-85)</f>
        <v>#N/A</v>
      </c>
      <c r="W8" s="113" t="e">
        <f>(W2+W5)*$B$2+(78-((Cooling_Load_Calculation!$D$4*9/5)+32))+(((Cooling_Load_Calculation!W25*9/5)+32)-85)</f>
        <v>#N/A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45" t="s">
        <v>247</v>
      </c>
      <c r="B1" s="246"/>
      <c r="C1" s="246"/>
      <c r="D1" s="246"/>
      <c r="E1" s="247"/>
      <c r="F1" s="140"/>
      <c r="G1" s="248" t="s">
        <v>232</v>
      </c>
      <c r="H1" s="248" t="s">
        <v>233</v>
      </c>
      <c r="I1" s="248" t="s">
        <v>234</v>
      </c>
      <c r="J1" s="248" t="s">
        <v>235</v>
      </c>
      <c r="K1" s="248" t="s">
        <v>236</v>
      </c>
      <c r="L1" s="248" t="s">
        <v>237</v>
      </c>
      <c r="N1" s="253" t="s">
        <v>238</v>
      </c>
      <c r="O1" s="240" t="s">
        <v>239</v>
      </c>
      <c r="P1" s="242" t="s">
        <v>242</v>
      </c>
    </row>
    <row r="2" spans="1:16" x14ac:dyDescent="0.3">
      <c r="A2" s="141" t="s">
        <v>238</v>
      </c>
      <c r="B2" s="142" t="s">
        <v>239</v>
      </c>
      <c r="C2" s="144" t="s">
        <v>244</v>
      </c>
      <c r="D2" s="144" t="s">
        <v>245</v>
      </c>
      <c r="E2" s="144" t="s">
        <v>246</v>
      </c>
      <c r="F2" s="139"/>
      <c r="G2" s="241"/>
      <c r="H2" s="241"/>
      <c r="I2" s="241"/>
      <c r="J2" s="241"/>
      <c r="K2" s="241"/>
      <c r="L2" s="241"/>
      <c r="N2" s="254"/>
      <c r="O2" s="241"/>
      <c r="P2" s="243"/>
    </row>
    <row r="3" spans="1:16" x14ac:dyDescent="0.3">
      <c r="A3" s="143">
        <v>1</v>
      </c>
      <c r="B3" s="144" t="s">
        <v>244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244</v>
      </c>
      <c r="P3" s="159">
        <f>ROUND(H3,4)</f>
        <v>0.18840000000000001</v>
      </c>
    </row>
    <row r="4" spans="1:16" x14ac:dyDescent="0.3">
      <c r="A4" s="143">
        <v>2</v>
      </c>
      <c r="B4" s="144" t="s">
        <v>245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245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246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246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44" t="s">
        <v>243</v>
      </c>
      <c r="O6" s="229"/>
      <c r="P6" s="160">
        <f>ROUND(SUM(P3:P5),3)</f>
        <v>1</v>
      </c>
    </row>
    <row r="7" spans="1:16" x14ac:dyDescent="0.3">
      <c r="A7" s="249" t="s">
        <v>237</v>
      </c>
      <c r="B7" s="250"/>
      <c r="C7" s="251" t="str">
        <f>L4</f>
        <v>Acceptable</v>
      </c>
      <c r="D7" s="252"/>
      <c r="E7" s="250"/>
      <c r="G7" s="154" t="s">
        <v>240</v>
      </c>
      <c r="H7" s="155" t="s">
        <v>240</v>
      </c>
      <c r="I7" s="156"/>
      <c r="J7" s="157" t="s">
        <v>241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45" t="s">
        <v>248</v>
      </c>
      <c r="B11" s="246"/>
      <c r="C11" s="246"/>
      <c r="D11" s="246"/>
      <c r="E11" s="247"/>
      <c r="F11" s="140"/>
      <c r="G11" s="248" t="s">
        <v>232</v>
      </c>
      <c r="H11" s="248" t="s">
        <v>233</v>
      </c>
      <c r="I11" s="248" t="s">
        <v>234</v>
      </c>
      <c r="J11" s="248" t="s">
        <v>235</v>
      </c>
      <c r="K11" s="248" t="s">
        <v>236</v>
      </c>
      <c r="L11" s="248" t="s">
        <v>237</v>
      </c>
      <c r="N11" s="253" t="s">
        <v>238</v>
      </c>
      <c r="O11" s="240" t="s">
        <v>239</v>
      </c>
      <c r="P11" s="242" t="s">
        <v>242</v>
      </c>
    </row>
    <row r="12" spans="1:16" x14ac:dyDescent="0.3">
      <c r="A12" s="141" t="s">
        <v>238</v>
      </c>
      <c r="B12" s="142" t="s">
        <v>239</v>
      </c>
      <c r="C12" s="144" t="s">
        <v>244</v>
      </c>
      <c r="D12" s="144" t="s">
        <v>245</v>
      </c>
      <c r="E12" s="144" t="s">
        <v>246</v>
      </c>
      <c r="F12" s="139"/>
      <c r="G12" s="241"/>
      <c r="H12" s="241"/>
      <c r="I12" s="241"/>
      <c r="J12" s="241"/>
      <c r="K12" s="241"/>
      <c r="L12" s="241"/>
      <c r="N12" s="254"/>
      <c r="O12" s="241"/>
      <c r="P12" s="243"/>
    </row>
    <row r="13" spans="1:16" x14ac:dyDescent="0.3">
      <c r="A13" s="143">
        <v>1</v>
      </c>
      <c r="B13" s="144" t="s">
        <v>244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244</v>
      </c>
      <c r="P13" s="159">
        <f>ROUND(H13,4)</f>
        <v>0.53959999999999997</v>
      </c>
    </row>
    <row r="14" spans="1:16" x14ac:dyDescent="0.3">
      <c r="A14" s="143">
        <v>2</v>
      </c>
      <c r="B14" s="144" t="s">
        <v>245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245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246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246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44" t="s">
        <v>243</v>
      </c>
      <c r="O16" s="229"/>
      <c r="P16" s="160">
        <f>ROUND(SUM(P13:P15),3)</f>
        <v>1</v>
      </c>
    </row>
    <row r="17" spans="1:17" x14ac:dyDescent="0.3">
      <c r="A17" s="249" t="s">
        <v>237</v>
      </c>
      <c r="B17" s="250"/>
      <c r="C17" s="251" t="str">
        <f>L14</f>
        <v>Acceptable</v>
      </c>
      <c r="D17" s="252"/>
      <c r="E17" s="250"/>
      <c r="G17" s="154" t="s">
        <v>240</v>
      </c>
      <c r="H17" s="155" t="s">
        <v>240</v>
      </c>
      <c r="I17" s="156"/>
      <c r="J17" s="157" t="s">
        <v>241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37" t="s">
        <v>253</v>
      </c>
      <c r="B21" s="238"/>
      <c r="C21" s="238"/>
      <c r="D21" s="238"/>
      <c r="E21" s="238"/>
      <c r="F21" s="239"/>
      <c r="G21" s="162"/>
      <c r="H21" s="230" t="s">
        <v>232</v>
      </c>
      <c r="I21" s="230" t="s">
        <v>233</v>
      </c>
      <c r="J21" s="230" t="s">
        <v>234</v>
      </c>
      <c r="K21" s="230" t="s">
        <v>235</v>
      </c>
      <c r="L21" s="230" t="s">
        <v>236</v>
      </c>
      <c r="M21" s="230" t="s">
        <v>237</v>
      </c>
      <c r="O21" s="235" t="s">
        <v>238</v>
      </c>
      <c r="P21" s="224" t="s">
        <v>239</v>
      </c>
      <c r="Q21" s="226" t="s">
        <v>242</v>
      </c>
    </row>
    <row r="22" spans="1:17" x14ac:dyDescent="0.3">
      <c r="A22" s="163" t="s">
        <v>238</v>
      </c>
      <c r="B22" s="164" t="s">
        <v>239</v>
      </c>
      <c r="C22" s="167" t="s">
        <v>249</v>
      </c>
      <c r="D22" s="167" t="s">
        <v>250</v>
      </c>
      <c r="E22" s="167" t="s">
        <v>251</v>
      </c>
      <c r="F22" s="167" t="s">
        <v>252</v>
      </c>
      <c r="G22" s="165"/>
      <c r="H22" s="225"/>
      <c r="I22" s="225"/>
      <c r="J22" s="225"/>
      <c r="K22" s="225"/>
      <c r="L22" s="225"/>
      <c r="M22" s="225"/>
      <c r="O22" s="236"/>
      <c r="P22" s="225"/>
      <c r="Q22" s="227"/>
    </row>
    <row r="23" spans="1:17" x14ac:dyDescent="0.3">
      <c r="A23" s="166">
        <v>1</v>
      </c>
      <c r="B23" s="167" t="s">
        <v>249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249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250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250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251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251</v>
      </c>
      <c r="Q25" s="182">
        <f t="shared" si="12"/>
        <v>6.13E-2</v>
      </c>
    </row>
    <row r="26" spans="1:17" x14ac:dyDescent="0.3">
      <c r="A26" s="166">
        <v>4</v>
      </c>
      <c r="B26" s="167" t="s">
        <v>252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252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28" t="s">
        <v>243</v>
      </c>
      <c r="P27" s="229"/>
      <c r="Q27" s="183">
        <f>ROUND(SUM(Q23:Q26),3)</f>
        <v>1</v>
      </c>
    </row>
    <row r="28" spans="1:17" x14ac:dyDescent="0.3">
      <c r="A28" s="231" t="s">
        <v>237</v>
      </c>
      <c r="B28" s="232"/>
      <c r="C28" s="233" t="str">
        <f>M24</f>
        <v>Acceptable</v>
      </c>
      <c r="D28" s="234"/>
      <c r="E28" s="234"/>
      <c r="F28" s="232"/>
      <c r="H28" s="177" t="s">
        <v>240</v>
      </c>
      <c r="I28" s="178" t="s">
        <v>240</v>
      </c>
      <c r="J28" s="179"/>
      <c r="K28" s="180" t="s">
        <v>241</v>
      </c>
    </row>
  </sheetData>
  <mergeCells count="39"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  <mergeCell ref="A7:B7"/>
    <mergeCell ref="C7:E7"/>
    <mergeCell ref="L11:L12"/>
    <mergeCell ref="N1:N2"/>
    <mergeCell ref="N11:N1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28:B28"/>
    <mergeCell ref="C28:F28"/>
    <mergeCell ref="O21:O22"/>
    <mergeCell ref="A21:F21"/>
    <mergeCell ref="H21:H22"/>
    <mergeCell ref="I21:I22"/>
    <mergeCell ref="J21:J22"/>
    <mergeCell ref="K21:K22"/>
    <mergeCell ref="P21:P22"/>
    <mergeCell ref="Q21:Q22"/>
    <mergeCell ref="O27:P27"/>
    <mergeCell ref="L21:L22"/>
    <mergeCell ref="M21:M22"/>
  </mergeCells>
  <conditionalFormatting sqref="C7:E7">
    <cfRule type="cellIs" dxfId="8" priority="7" operator="equal">
      <formula>"Acceptable"</formula>
    </cfRule>
  </conditionalFormatting>
  <conditionalFormatting sqref="C7:E7">
    <cfRule type="cellIs" dxfId="7" priority="8" operator="equal">
      <formula>"Unacceptable"</formula>
    </cfRule>
  </conditionalFormatting>
  <conditionalFormatting sqref="C7:E7">
    <cfRule type="cellIs" dxfId="6" priority="9" operator="equal">
      <formula>"NOT VALID"</formula>
    </cfRule>
  </conditionalFormatting>
  <conditionalFormatting sqref="C17:E17">
    <cfRule type="cellIs" dxfId="5" priority="4" operator="equal">
      <formula>"Acceptable"</formula>
    </cfRule>
  </conditionalFormatting>
  <conditionalFormatting sqref="C17:E17">
    <cfRule type="cellIs" dxfId="4" priority="5" operator="equal">
      <formula>"Unacceptable"</formula>
    </cfRule>
  </conditionalFormatting>
  <conditionalFormatting sqref="C17:E17">
    <cfRule type="cellIs" dxfId="3" priority="6" operator="equal">
      <formula>"NOT VALID"</formula>
    </cfRule>
  </conditionalFormatting>
  <conditionalFormatting sqref="C28:E28">
    <cfRule type="cellIs" dxfId="2" priority="1" operator="equal">
      <formula>"Acceptable"</formula>
    </cfRule>
  </conditionalFormatting>
  <conditionalFormatting sqref="C28:E28">
    <cfRule type="cellIs" dxfId="1" priority="2" operator="equal">
      <formula>"Unacceptable"</formula>
    </cfRule>
  </conditionalFormatting>
  <conditionalFormatting sqref="C28:E28">
    <cfRule type="cellIs" dxfId="0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5" t="s">
        <v>254</v>
      </c>
      <c r="B1" s="256"/>
      <c r="C1" s="256"/>
      <c r="D1" s="257"/>
    </row>
    <row r="2" spans="1:4" x14ac:dyDescent="0.3">
      <c r="A2" s="28" t="s">
        <v>263</v>
      </c>
      <c r="B2" s="184" t="s">
        <v>249</v>
      </c>
      <c r="C2" s="184" t="s">
        <v>255</v>
      </c>
      <c r="D2" s="29" t="s">
        <v>256</v>
      </c>
    </row>
    <row r="3" spans="1:4" x14ac:dyDescent="0.3">
      <c r="A3" s="24" t="s">
        <v>257</v>
      </c>
      <c r="B3" s="56"/>
      <c r="C3" s="56"/>
      <c r="D3" s="25"/>
    </row>
    <row r="4" spans="1:4" x14ac:dyDescent="0.3">
      <c r="A4" s="24" t="s">
        <v>258</v>
      </c>
      <c r="B4" s="56">
        <f>B3^0.5</f>
        <v>0</v>
      </c>
      <c r="C4" s="56">
        <f t="shared" ref="C4:D4" si="0">C3^0.5</f>
        <v>0</v>
      </c>
      <c r="D4" s="25">
        <f t="shared" si="0"/>
        <v>0</v>
      </c>
    </row>
    <row r="5" spans="1:4" x14ac:dyDescent="0.3">
      <c r="A5" s="24" t="s">
        <v>259</v>
      </c>
      <c r="B5" s="56"/>
      <c r="C5" s="56"/>
      <c r="D5" s="25"/>
    </row>
    <row r="6" spans="1:4" ht="15" thickBot="1" x14ac:dyDescent="0.35">
      <c r="A6" s="130" t="s">
        <v>260</v>
      </c>
      <c r="B6" s="131"/>
      <c r="C6" s="131"/>
      <c r="D6" s="81"/>
    </row>
    <row r="8" spans="1:4" ht="15" thickBot="1" x14ac:dyDescent="0.35"/>
    <row r="9" spans="1:4" x14ac:dyDescent="0.3">
      <c r="A9" s="255" t="s">
        <v>261</v>
      </c>
      <c r="B9" s="256"/>
      <c r="C9" s="256"/>
      <c r="D9" s="257"/>
    </row>
    <row r="10" spans="1:4" x14ac:dyDescent="0.3">
      <c r="A10" s="28" t="s">
        <v>263</v>
      </c>
      <c r="B10" s="184" t="s">
        <v>249</v>
      </c>
      <c r="C10" s="184" t="s">
        <v>255</v>
      </c>
      <c r="D10" s="29" t="s">
        <v>256</v>
      </c>
    </row>
    <row r="11" spans="1:4" x14ac:dyDescent="0.3">
      <c r="A11" s="24" t="s">
        <v>257</v>
      </c>
      <c r="B11" s="56">
        <f>B3</f>
        <v>0</v>
      </c>
      <c r="C11" s="56">
        <f t="shared" ref="C11:D11" si="1">C3</f>
        <v>0</v>
      </c>
      <c r="D11" s="25">
        <f t="shared" si="1"/>
        <v>0</v>
      </c>
    </row>
    <row r="12" spans="1:4" x14ac:dyDescent="0.3">
      <c r="A12" s="24" t="s">
        <v>258</v>
      </c>
      <c r="B12" s="56">
        <f>B11^0.5</f>
        <v>0</v>
      </c>
      <c r="C12" s="56">
        <f t="shared" ref="C12" si="2">C11^0.5</f>
        <v>0</v>
      </c>
      <c r="D12" s="25">
        <f t="shared" ref="D12" si="3">D11^0.5</f>
        <v>0</v>
      </c>
    </row>
    <row r="13" spans="1:4" x14ac:dyDescent="0.3">
      <c r="A13" s="24" t="s">
        <v>259</v>
      </c>
      <c r="B13" s="56"/>
      <c r="C13" s="56"/>
      <c r="D13" s="25"/>
    </row>
    <row r="14" spans="1:4" ht="15" thickBot="1" x14ac:dyDescent="0.35">
      <c r="A14" s="130" t="s">
        <v>260</v>
      </c>
      <c r="B14" s="131"/>
      <c r="C14" s="131"/>
      <c r="D14" s="81"/>
    </row>
    <row r="16" spans="1:4" ht="15" thickBot="1" x14ac:dyDescent="0.35"/>
    <row r="17" spans="1:5" x14ac:dyDescent="0.3">
      <c r="A17" s="255" t="s">
        <v>262</v>
      </c>
      <c r="B17" s="256"/>
      <c r="C17" s="256"/>
      <c r="D17" s="256"/>
      <c r="E17" s="257"/>
    </row>
    <row r="18" spans="1:5" x14ac:dyDescent="0.3">
      <c r="A18" s="28" t="s">
        <v>263</v>
      </c>
      <c r="B18" s="184" t="s">
        <v>249</v>
      </c>
      <c r="C18" s="184" t="s">
        <v>250</v>
      </c>
      <c r="D18" s="184" t="s">
        <v>251</v>
      </c>
      <c r="E18" s="77" t="s">
        <v>264</v>
      </c>
    </row>
    <row r="19" spans="1:5" x14ac:dyDescent="0.3">
      <c r="A19" s="24" t="s">
        <v>257</v>
      </c>
      <c r="B19" s="56">
        <f>B3</f>
        <v>0</v>
      </c>
      <c r="C19" s="56"/>
      <c r="D19" s="56"/>
      <c r="E19" s="25"/>
    </row>
    <row r="20" spans="1:5" x14ac:dyDescent="0.3">
      <c r="A20" s="24" t="s">
        <v>258</v>
      </c>
      <c r="B20" s="56">
        <f>B19^0.5</f>
        <v>0</v>
      </c>
      <c r="C20" s="56">
        <f t="shared" ref="C20" si="4">C19^0.5</f>
        <v>0</v>
      </c>
      <c r="D20" s="56">
        <f t="shared" ref="D20" si="5">D19^0.5</f>
        <v>0</v>
      </c>
      <c r="E20" s="25">
        <f>E19^0.5</f>
        <v>0</v>
      </c>
    </row>
    <row r="21" spans="1:5" x14ac:dyDescent="0.3">
      <c r="A21" s="24" t="s">
        <v>259</v>
      </c>
      <c r="B21" s="56"/>
      <c r="C21" s="56"/>
      <c r="D21" s="56"/>
      <c r="E21" s="25"/>
    </row>
    <row r="22" spans="1:5" ht="15" thickBot="1" x14ac:dyDescent="0.35">
      <c r="A22" s="130" t="s">
        <v>260</v>
      </c>
      <c r="B22" s="131"/>
      <c r="C22" s="131"/>
      <c r="D22" s="131"/>
      <c r="E22" s="81"/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workbookViewId="0"/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58" t="s">
        <v>265</v>
      </c>
      <c r="B3" s="259"/>
      <c r="C3" s="259"/>
      <c r="D3" s="259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219</v>
      </c>
      <c r="F4" s="2" t="s">
        <v>220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147</v>
      </c>
      <c r="B6" s="2" t="s">
        <v>148</v>
      </c>
      <c r="C6" s="2" t="s">
        <v>211</v>
      </c>
      <c r="D6" s="2" t="s">
        <v>219</v>
      </c>
      <c r="E6" s="2" t="s">
        <v>220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152</v>
      </c>
      <c r="B8" s="2" t="s">
        <v>211</v>
      </c>
      <c r="C8" s="2" t="s">
        <v>219</v>
      </c>
      <c r="D8" s="2" t="s">
        <v>220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153</v>
      </c>
      <c r="B10" s="2" t="s">
        <v>211</v>
      </c>
      <c r="C10" s="2" t="s">
        <v>219</v>
      </c>
      <c r="D10" s="2" t="s">
        <v>220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158</v>
      </c>
      <c r="B12" s="2" t="s">
        <v>137</v>
      </c>
      <c r="C12" s="2" t="s">
        <v>219</v>
      </c>
      <c r="D12" s="2" t="s">
        <v>220</v>
      </c>
      <c r="E12" s="2" t="s">
        <v>138</v>
      </c>
      <c r="F12" s="2" t="s">
        <v>162</v>
      </c>
      <c r="G12" s="2" t="s">
        <v>163</v>
      </c>
      <c r="H12" s="2" t="s">
        <v>164</v>
      </c>
      <c r="I12" s="2" t="s">
        <v>165</v>
      </c>
      <c r="J12" s="2" t="s">
        <v>166</v>
      </c>
      <c r="K12" s="2" t="s">
        <v>167</v>
      </c>
      <c r="L12" s="2" t="s">
        <v>168</v>
      </c>
      <c r="M12" s="2" t="s">
        <v>169</v>
      </c>
      <c r="N12" s="2" t="s">
        <v>170</v>
      </c>
      <c r="O12" s="2" t="s">
        <v>171</v>
      </c>
      <c r="P12" s="2" t="s">
        <v>172</v>
      </c>
      <c r="Q12" s="2" t="s">
        <v>173</v>
      </c>
      <c r="R12" s="2" t="s">
        <v>174</v>
      </c>
      <c r="S12" s="2" t="s">
        <v>175</v>
      </c>
      <c r="T12" s="2" t="s">
        <v>176</v>
      </c>
      <c r="U12" s="2" t="s">
        <v>177</v>
      </c>
      <c r="V12" s="3" t="s">
        <v>178</v>
      </c>
    </row>
    <row r="13" spans="1:22" x14ac:dyDescent="0.3">
      <c r="A13" s="190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3"/>
    </row>
    <row r="14" spans="1:22" x14ac:dyDescent="0.3">
      <c r="A14" s="188" t="s">
        <v>221</v>
      </c>
      <c r="B14" s="2" t="s">
        <v>222</v>
      </c>
      <c r="C14" s="2" t="s">
        <v>223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/>
      <c r="B15" s="186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58" t="s">
        <v>266</v>
      </c>
      <c r="B18" s="259"/>
      <c r="C18" s="259"/>
      <c r="D18" s="259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219</v>
      </c>
      <c r="F19" s="2" t="s">
        <v>220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147</v>
      </c>
      <c r="B21" s="2" t="s">
        <v>148</v>
      </c>
      <c r="C21" s="2" t="s">
        <v>211</v>
      </c>
      <c r="D21" s="2" t="s">
        <v>219</v>
      </c>
      <c r="E21" s="2" t="s">
        <v>220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152</v>
      </c>
      <c r="B23" s="2" t="s">
        <v>211</v>
      </c>
      <c r="C23" s="2" t="s">
        <v>219</v>
      </c>
      <c r="D23" s="2" t="s">
        <v>220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153</v>
      </c>
      <c r="B25" s="2" t="s">
        <v>211</v>
      </c>
      <c r="C25" s="2" t="s">
        <v>219</v>
      </c>
      <c r="D25" s="2" t="s">
        <v>220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158</v>
      </c>
      <c r="B27" s="2" t="s">
        <v>137</v>
      </c>
      <c r="C27" s="2" t="s">
        <v>219</v>
      </c>
      <c r="D27" s="2" t="s">
        <v>220</v>
      </c>
      <c r="E27" s="2" t="s">
        <v>138</v>
      </c>
      <c r="F27" s="2" t="s">
        <v>162</v>
      </c>
      <c r="G27" s="2" t="s">
        <v>163</v>
      </c>
      <c r="H27" s="2" t="s">
        <v>164</v>
      </c>
      <c r="I27" s="2" t="s">
        <v>165</v>
      </c>
      <c r="J27" s="2" t="s">
        <v>166</v>
      </c>
      <c r="K27" s="2" t="s">
        <v>167</v>
      </c>
      <c r="L27" s="2" t="s">
        <v>168</v>
      </c>
      <c r="M27" s="2" t="s">
        <v>169</v>
      </c>
      <c r="N27" s="2" t="s">
        <v>170</v>
      </c>
      <c r="O27" s="2" t="s">
        <v>171</v>
      </c>
      <c r="P27" s="2" t="s">
        <v>172</v>
      </c>
      <c r="Q27" s="2" t="s">
        <v>173</v>
      </c>
      <c r="R27" s="2" t="s">
        <v>174</v>
      </c>
      <c r="S27" s="2" t="s">
        <v>175</v>
      </c>
      <c r="T27" s="2" t="s">
        <v>176</v>
      </c>
      <c r="U27" s="2" t="s">
        <v>177</v>
      </c>
      <c r="V27" s="3" t="s">
        <v>178</v>
      </c>
    </row>
    <row r="28" spans="1:22" x14ac:dyDescent="0.3">
      <c r="A28" s="190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3"/>
    </row>
    <row r="29" spans="1:22" x14ac:dyDescent="0.3">
      <c r="A29" s="188" t="s">
        <v>221</v>
      </c>
      <c r="B29" s="2" t="s">
        <v>222</v>
      </c>
      <c r="C29" s="2" t="s">
        <v>223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/>
      <c r="B30" s="186"/>
      <c r="C30" s="186"/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58" t="s">
        <v>267</v>
      </c>
      <c r="B33" s="259"/>
      <c r="C33" s="259"/>
      <c r="D33" s="259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219</v>
      </c>
      <c r="F34" s="2" t="s">
        <v>220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147</v>
      </c>
      <c r="B36" s="2" t="s">
        <v>148</v>
      </c>
      <c r="C36" s="2" t="s">
        <v>211</v>
      </c>
      <c r="D36" s="2" t="s">
        <v>219</v>
      </c>
      <c r="E36" s="2" t="s">
        <v>220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152</v>
      </c>
      <c r="B38" s="2" t="s">
        <v>211</v>
      </c>
      <c r="C38" s="2" t="s">
        <v>219</v>
      </c>
      <c r="D38" s="2" t="s">
        <v>220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153</v>
      </c>
      <c r="B40" s="2" t="s">
        <v>211</v>
      </c>
      <c r="C40" s="2" t="s">
        <v>219</v>
      </c>
      <c r="D40" s="2" t="s">
        <v>220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158</v>
      </c>
      <c r="B42" s="2" t="s">
        <v>137</v>
      </c>
      <c r="C42" s="2" t="s">
        <v>219</v>
      </c>
      <c r="D42" s="2" t="s">
        <v>220</v>
      </c>
      <c r="E42" s="2" t="s">
        <v>138</v>
      </c>
      <c r="F42" s="2" t="s">
        <v>162</v>
      </c>
      <c r="G42" s="2" t="s">
        <v>163</v>
      </c>
      <c r="H42" s="2" t="s">
        <v>164</v>
      </c>
      <c r="I42" s="2" t="s">
        <v>165</v>
      </c>
      <c r="J42" s="2" t="s">
        <v>166</v>
      </c>
      <c r="K42" s="2" t="s">
        <v>167</v>
      </c>
      <c r="L42" s="2" t="s">
        <v>168</v>
      </c>
      <c r="M42" s="2" t="s">
        <v>169</v>
      </c>
      <c r="N42" s="2" t="s">
        <v>170</v>
      </c>
      <c r="O42" s="2" t="s">
        <v>171</v>
      </c>
      <c r="P42" s="2" t="s">
        <v>172</v>
      </c>
      <c r="Q42" s="2" t="s">
        <v>173</v>
      </c>
      <c r="R42" s="2" t="s">
        <v>174</v>
      </c>
      <c r="S42" s="2" t="s">
        <v>175</v>
      </c>
      <c r="T42" s="2" t="s">
        <v>176</v>
      </c>
      <c r="U42" s="2" t="s">
        <v>177</v>
      </c>
      <c r="V42" s="3" t="s">
        <v>178</v>
      </c>
    </row>
    <row r="43" spans="1:22" x14ac:dyDescent="0.3">
      <c r="A43" s="190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3"/>
    </row>
    <row r="44" spans="1:22" x14ac:dyDescent="0.3">
      <c r="A44" s="188" t="s">
        <v>221</v>
      </c>
      <c r="B44" s="2" t="s">
        <v>222</v>
      </c>
      <c r="C44" s="2" t="s">
        <v>223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/>
      <c r="B45" s="186"/>
      <c r="C45" s="186"/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2022-05-17T08:28:44Z</dcterms:modified>
</cp:coreProperties>
</file>