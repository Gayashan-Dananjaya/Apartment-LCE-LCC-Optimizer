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ducational\Sem 6\Semester 6B\CE4922 Research Project\Final Code, Validation &amp; Reports\3 Story Building\"/>
    </mc:Choice>
  </mc:AlternateContent>
  <xr:revisionPtr revIDLastSave="0" documentId="13_ncr:1_{926D2D95-9E4B-4F0E-A1F1-43C643A609F7}" xr6:coauthVersionLast="47" xr6:coauthVersionMax="47" xr10:uidLastSave="{00000000-0000-0000-0000-000000000000}"/>
  <bookViews>
    <workbookView xWindow="-108" yWindow="-108" windowWidth="23256" windowHeight="12576" tabRatio="694" xr2:uid="{CDE63A1C-BCBD-41DE-A856-D88768D27E76}"/>
  </bookViews>
  <sheets>
    <sheet name="Research_Doors" sheetId="14" r:id="rId1"/>
    <sheet name="Research_Levels" sheetId="13" r:id="rId2"/>
    <sheet name="Research_Floors" sheetId="12" r:id="rId3"/>
    <sheet name="Research_Wall" sheetId="11" r:id="rId4"/>
    <sheet name="Research_Window" sheetId="10" r:id="rId5"/>
    <sheet name="Cooling_Load_Calculation" sheetId="1" r:id="rId6"/>
    <sheet name="Alternative_Materials" sheetId="6" r:id="rId7"/>
    <sheet name="City_Details" sheetId="2" r:id="rId8"/>
    <sheet name="Window" sheetId="3" r:id="rId9"/>
    <sheet name="Wall" sheetId="4" r:id="rId10"/>
    <sheet name="Roof" sheetId="5" r:id="rId11"/>
    <sheet name="AHP" sheetId="7" r:id="rId12"/>
    <sheet name="TOPSIS" sheetId="8" r:id="rId13"/>
    <sheet name="Orientation" sheetId="9" r:id="rId14"/>
  </sheets>
  <externalReferences>
    <externalReference r:id="rId1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0" i="8" l="1"/>
  <c r="B19" i="8" l="1"/>
  <c r="C11" i="8"/>
  <c r="D11" i="8"/>
  <c r="B11" i="8"/>
  <c r="D20" i="8" l="1"/>
  <c r="C20" i="8"/>
  <c r="B20" i="8"/>
  <c r="D12" i="8"/>
  <c r="C12" i="8"/>
  <c r="B12" i="8"/>
  <c r="C4" i="8"/>
  <c r="D4" i="8"/>
  <c r="B4" i="8"/>
  <c r="H26" i="7"/>
  <c r="H25" i="7"/>
  <c r="H24" i="7"/>
  <c r="H23" i="7"/>
  <c r="H27" i="7" l="1"/>
  <c r="I23" i="7" l="1"/>
  <c r="Q23" i="7" s="1"/>
  <c r="I25" i="7"/>
  <c r="Q25" i="7" s="1"/>
  <c r="I26" i="7"/>
  <c r="Q26" i="7" s="1"/>
  <c r="I24" i="7"/>
  <c r="Q24" i="7" s="1"/>
  <c r="Q27" i="7" l="1"/>
  <c r="J23" i="7" a="1"/>
  <c r="I27" i="7"/>
  <c r="J23" i="7" l="1"/>
  <c r="K23" i="7" s="1"/>
  <c r="J24" i="7"/>
  <c r="K24" i="7" s="1"/>
  <c r="J26" i="7"/>
  <c r="K26" i="7" s="1"/>
  <c r="J25" i="7"/>
  <c r="K25" i="7" s="1"/>
  <c r="K27" i="7" l="1"/>
  <c r="L23" i="7" s="1"/>
  <c r="M23" i="7" s="1"/>
  <c r="M24" i="7" l="1"/>
  <c r="C28" i="7" s="1"/>
  <c r="G15" i="7" l="1"/>
  <c r="G14" i="7"/>
  <c r="G13" i="7"/>
  <c r="G5" i="7"/>
  <c r="G4" i="7"/>
  <c r="G3" i="7"/>
  <c r="G16" i="7" l="1"/>
  <c r="H15" i="7" s="1"/>
  <c r="P15" i="7" s="1"/>
  <c r="G6" i="7"/>
  <c r="H3" i="7" s="1"/>
  <c r="P3" i="7" s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X55" i="1"/>
  <c r="J13" i="4"/>
  <c r="J14" i="4"/>
  <c r="J15" i="4"/>
  <c r="J16" i="4"/>
  <c r="J17" i="4"/>
  <c r="J18" i="4"/>
  <c r="J19" i="4"/>
  <c r="J20" i="4"/>
  <c r="J12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J2" i="4"/>
  <c r="F8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G5" i="5"/>
  <c r="H19" i="2"/>
  <c r="I19" i="2"/>
  <c r="J19" i="2"/>
  <c r="K19" i="2"/>
  <c r="L19" i="2"/>
  <c r="M19" i="2"/>
  <c r="N19" i="2"/>
  <c r="G25" i="1" s="1"/>
  <c r="G44" i="1" s="1"/>
  <c r="O19" i="2"/>
  <c r="H25" i="1" s="1"/>
  <c r="H44" i="1" s="1"/>
  <c r="P19" i="2"/>
  <c r="I25" i="1" s="1"/>
  <c r="I44" i="1" s="1"/>
  <c r="Q19" i="2"/>
  <c r="J25" i="1" s="1"/>
  <c r="J44" i="1" s="1"/>
  <c r="R19" i="2"/>
  <c r="K25" i="1" s="1"/>
  <c r="K44" i="1" s="1"/>
  <c r="S19" i="2"/>
  <c r="L25" i="1" s="1"/>
  <c r="L44" i="1" s="1"/>
  <c r="T19" i="2"/>
  <c r="M25" i="1" s="1"/>
  <c r="M44" i="1" s="1"/>
  <c r="U19" i="2"/>
  <c r="N25" i="1" s="1"/>
  <c r="N44" i="1" s="1"/>
  <c r="V19" i="2"/>
  <c r="O25" i="1" s="1"/>
  <c r="O44" i="1" s="1"/>
  <c r="W19" i="2"/>
  <c r="P25" i="1" s="1"/>
  <c r="P44" i="1" s="1"/>
  <c r="X19" i="2"/>
  <c r="Q25" i="1" s="1"/>
  <c r="Q44" i="1" s="1"/>
  <c r="Y19" i="2"/>
  <c r="R25" i="1" s="1"/>
  <c r="R44" i="1" s="1"/>
  <c r="Z19" i="2"/>
  <c r="S25" i="1" s="1"/>
  <c r="S44" i="1" s="1"/>
  <c r="AA19" i="2"/>
  <c r="T25" i="1" s="1"/>
  <c r="T44" i="1" s="1"/>
  <c r="AB19" i="2"/>
  <c r="U25" i="1" s="1"/>
  <c r="U44" i="1" s="1"/>
  <c r="AC19" i="2"/>
  <c r="V25" i="1" s="1"/>
  <c r="V44" i="1" s="1"/>
  <c r="AD19" i="2"/>
  <c r="W25" i="1" s="1"/>
  <c r="W44" i="1" s="1"/>
  <c r="AE19" i="2"/>
  <c r="G19" i="2"/>
  <c r="G15" i="3"/>
  <c r="E36" i="1" s="1"/>
  <c r="X36" i="1" s="1"/>
  <c r="G16" i="3"/>
  <c r="E37" i="1" s="1"/>
  <c r="AA37" i="1" s="1"/>
  <c r="G17" i="3"/>
  <c r="E38" i="1" s="1"/>
  <c r="Z38" i="1" s="1"/>
  <c r="G18" i="3"/>
  <c r="E39" i="1" s="1"/>
  <c r="Y39" i="1" s="1"/>
  <c r="G19" i="3"/>
  <c r="E40" i="1" s="1"/>
  <c r="X40" i="1" s="1"/>
  <c r="G20" i="3"/>
  <c r="E41" i="1" s="1"/>
  <c r="AA41" i="1" s="1"/>
  <c r="G21" i="3"/>
  <c r="E42" i="1" s="1"/>
  <c r="Z42" i="1" s="1"/>
  <c r="G14" i="3"/>
  <c r="E35" i="1" s="1"/>
  <c r="Z35" i="1" s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G36" i="1"/>
  <c r="G37" i="1"/>
  <c r="G38" i="1"/>
  <c r="G39" i="1"/>
  <c r="G40" i="1"/>
  <c r="G41" i="1"/>
  <c r="G42" i="1"/>
  <c r="G35" i="1"/>
  <c r="H14" i="7" l="1"/>
  <c r="P14" i="7" s="1"/>
  <c r="H13" i="7"/>
  <c r="P13" i="7" s="1"/>
  <c r="H5" i="7"/>
  <c r="P5" i="7" s="1"/>
  <c r="H4" i="7"/>
  <c r="AN25" i="1"/>
  <c r="AJ25" i="1"/>
  <c r="AF25" i="1"/>
  <c r="AB25" i="1"/>
  <c r="AM25" i="1"/>
  <c r="AI25" i="1"/>
  <c r="AE25" i="1"/>
  <c r="AA25" i="1"/>
  <c r="X25" i="1"/>
  <c r="AL25" i="1"/>
  <c r="AH25" i="1"/>
  <c r="AD25" i="1"/>
  <c r="Z25" i="1"/>
  <c r="AK25" i="1"/>
  <c r="AG25" i="1"/>
  <c r="AC25" i="1"/>
  <c r="Y25" i="1"/>
  <c r="L31" i="1"/>
  <c r="AC31" i="1" s="1"/>
  <c r="L26" i="1"/>
  <c r="AC26" i="1" s="1"/>
  <c r="W26" i="1"/>
  <c r="AN26" i="1" s="1"/>
  <c r="W31" i="1"/>
  <c r="AN31" i="1" s="1"/>
  <c r="S26" i="1"/>
  <c r="AJ26" i="1" s="1"/>
  <c r="S31" i="1"/>
  <c r="AJ31" i="1" s="1"/>
  <c r="O26" i="1"/>
  <c r="AF26" i="1" s="1"/>
  <c r="O31" i="1"/>
  <c r="AF31" i="1" s="1"/>
  <c r="K26" i="1"/>
  <c r="AB26" i="1" s="1"/>
  <c r="K31" i="1"/>
  <c r="AB31" i="1" s="1"/>
  <c r="G31" i="1"/>
  <c r="X31" i="1" s="1"/>
  <c r="G26" i="1"/>
  <c r="X26" i="1" s="1"/>
  <c r="P31" i="1"/>
  <c r="AG31" i="1" s="1"/>
  <c r="P26" i="1"/>
  <c r="AG26" i="1" s="1"/>
  <c r="V31" i="1"/>
  <c r="AM31" i="1" s="1"/>
  <c r="V26" i="1"/>
  <c r="AM26" i="1" s="1"/>
  <c r="R31" i="1"/>
  <c r="AI31" i="1" s="1"/>
  <c r="R26" i="1"/>
  <c r="AI26" i="1" s="1"/>
  <c r="N31" i="1"/>
  <c r="AE31" i="1" s="1"/>
  <c r="N26" i="1"/>
  <c r="AE26" i="1" s="1"/>
  <c r="J31" i="1"/>
  <c r="AA31" i="1" s="1"/>
  <c r="J26" i="1"/>
  <c r="AA26" i="1" s="1"/>
  <c r="T31" i="1"/>
  <c r="AK31" i="1" s="1"/>
  <c r="T26" i="1"/>
  <c r="AK26" i="1" s="1"/>
  <c r="H31" i="1"/>
  <c r="Y31" i="1" s="1"/>
  <c r="H26" i="1"/>
  <c r="Y26" i="1" s="1"/>
  <c r="U31" i="1"/>
  <c r="AL31" i="1" s="1"/>
  <c r="U26" i="1"/>
  <c r="AL26" i="1" s="1"/>
  <c r="Q31" i="1"/>
  <c r="AH31" i="1" s="1"/>
  <c r="Q26" i="1"/>
  <c r="AH26" i="1" s="1"/>
  <c r="M31" i="1"/>
  <c r="AD31" i="1" s="1"/>
  <c r="M26" i="1"/>
  <c r="AD26" i="1" s="1"/>
  <c r="I31" i="1"/>
  <c r="Z31" i="1" s="1"/>
  <c r="I26" i="1"/>
  <c r="Z26" i="1" s="1"/>
  <c r="X35" i="1"/>
  <c r="AK35" i="1"/>
  <c r="AG35" i="1"/>
  <c r="AC35" i="1"/>
  <c r="Y35" i="1"/>
  <c r="AK42" i="1"/>
  <c r="AG42" i="1"/>
  <c r="AC42" i="1"/>
  <c r="Y42" i="1"/>
  <c r="AL41" i="1"/>
  <c r="AH41" i="1"/>
  <c r="AD41" i="1"/>
  <c r="Z41" i="1"/>
  <c r="AM40" i="1"/>
  <c r="AI40" i="1"/>
  <c r="AE40" i="1"/>
  <c r="AA40" i="1"/>
  <c r="AN39" i="1"/>
  <c r="AJ39" i="1"/>
  <c r="AF39" i="1"/>
  <c r="AB39" i="1"/>
  <c r="X39" i="1"/>
  <c r="AK38" i="1"/>
  <c r="AG38" i="1"/>
  <c r="AC38" i="1"/>
  <c r="Y38" i="1"/>
  <c r="AL37" i="1"/>
  <c r="AH37" i="1"/>
  <c r="AD37" i="1"/>
  <c r="Z37" i="1"/>
  <c r="AM36" i="1"/>
  <c r="AI36" i="1"/>
  <c r="AE36" i="1"/>
  <c r="AA36" i="1"/>
  <c r="AN35" i="1"/>
  <c r="AJ35" i="1"/>
  <c r="AF35" i="1"/>
  <c r="AB35" i="1"/>
  <c r="AN42" i="1"/>
  <c r="AJ42" i="1"/>
  <c r="AF42" i="1"/>
  <c r="AB42" i="1"/>
  <c r="X42" i="1"/>
  <c r="AK41" i="1"/>
  <c r="AG41" i="1"/>
  <c r="AC41" i="1"/>
  <c r="Y41" i="1"/>
  <c r="AL40" i="1"/>
  <c r="AH40" i="1"/>
  <c r="AD40" i="1"/>
  <c r="Z40" i="1"/>
  <c r="AM39" i="1"/>
  <c r="AI39" i="1"/>
  <c r="AE39" i="1"/>
  <c r="AA39" i="1"/>
  <c r="AN38" i="1"/>
  <c r="AJ38" i="1"/>
  <c r="AF38" i="1"/>
  <c r="AB38" i="1"/>
  <c r="X38" i="1"/>
  <c r="AK37" i="1"/>
  <c r="AG37" i="1"/>
  <c r="AC37" i="1"/>
  <c r="Y37" i="1"/>
  <c r="AL36" i="1"/>
  <c r="AH36" i="1"/>
  <c r="AD36" i="1"/>
  <c r="Z36" i="1"/>
  <c r="AM35" i="1"/>
  <c r="AI35" i="1"/>
  <c r="AE35" i="1"/>
  <c r="AA35" i="1"/>
  <c r="AM42" i="1"/>
  <c r="AI42" i="1"/>
  <c r="AE42" i="1"/>
  <c r="AA42" i="1"/>
  <c r="AN41" i="1"/>
  <c r="AJ41" i="1"/>
  <c r="AF41" i="1"/>
  <c r="AB41" i="1"/>
  <c r="X41" i="1"/>
  <c r="AK40" i="1"/>
  <c r="AG40" i="1"/>
  <c r="AC40" i="1"/>
  <c r="Y40" i="1"/>
  <c r="AL39" i="1"/>
  <c r="AH39" i="1"/>
  <c r="AD39" i="1"/>
  <c r="Z39" i="1"/>
  <c r="AM38" i="1"/>
  <c r="AI38" i="1"/>
  <c r="AE38" i="1"/>
  <c r="AA38" i="1"/>
  <c r="AN37" i="1"/>
  <c r="AJ37" i="1"/>
  <c r="AF37" i="1"/>
  <c r="AB37" i="1"/>
  <c r="X37" i="1"/>
  <c r="AK36" i="1"/>
  <c r="AG36" i="1"/>
  <c r="AC36" i="1"/>
  <c r="Y36" i="1"/>
  <c r="AL35" i="1"/>
  <c r="AH35" i="1"/>
  <c r="AD35" i="1"/>
  <c r="AL42" i="1"/>
  <c r="AH42" i="1"/>
  <c r="AD42" i="1"/>
  <c r="AM41" i="1"/>
  <c r="AI41" i="1"/>
  <c r="AE41" i="1"/>
  <c r="AN40" i="1"/>
  <c r="AJ40" i="1"/>
  <c r="AF40" i="1"/>
  <c r="AB40" i="1"/>
  <c r="AK39" i="1"/>
  <c r="AG39" i="1"/>
  <c r="AC39" i="1"/>
  <c r="AL38" i="1"/>
  <c r="AH38" i="1"/>
  <c r="AD38" i="1"/>
  <c r="AM37" i="1"/>
  <c r="AI37" i="1"/>
  <c r="AE37" i="1"/>
  <c r="AN36" i="1"/>
  <c r="AJ36" i="1"/>
  <c r="AF36" i="1"/>
  <c r="AB36" i="1"/>
  <c r="P16" i="7" l="1"/>
  <c r="I13" i="7" a="1"/>
  <c r="I14" i="7" s="1"/>
  <c r="J14" i="7" s="1"/>
  <c r="H16" i="7"/>
  <c r="I3" i="7" a="1"/>
  <c r="I3" i="7" s="1"/>
  <c r="J3" i="7" s="1"/>
  <c r="P4" i="7"/>
  <c r="P6" i="7" s="1"/>
  <c r="I13" i="7"/>
  <c r="J13" i="7" s="1"/>
  <c r="H6" i="7"/>
  <c r="B1" i="5"/>
  <c r="B2" i="5" s="1"/>
  <c r="D1" i="4"/>
  <c r="D2" i="4" s="1"/>
  <c r="I15" i="7" l="1"/>
  <c r="J15" i="7" s="1"/>
  <c r="I4" i="7"/>
  <c r="J4" i="7" s="1"/>
  <c r="I5" i="7"/>
  <c r="J5" i="7" s="1"/>
  <c r="J16" i="7"/>
  <c r="K13" i="7" s="1"/>
  <c r="L13" i="7" s="1"/>
  <c r="M26" i="4"/>
  <c r="J17" i="1" s="1"/>
  <c r="AA17" i="1" s="1"/>
  <c r="W30" i="4"/>
  <c r="T21" i="1" s="1"/>
  <c r="AK21" i="1" s="1"/>
  <c r="J27" i="4"/>
  <c r="G18" i="1" s="1"/>
  <c r="X18" i="1" s="1"/>
  <c r="L25" i="4"/>
  <c r="I16" i="1" s="1"/>
  <c r="Z16" i="1" s="1"/>
  <c r="M31" i="4"/>
  <c r="J22" i="1" s="1"/>
  <c r="AA22" i="1" s="1"/>
  <c r="O29" i="4"/>
  <c r="L20" i="1" s="1"/>
  <c r="AC20" i="1" s="1"/>
  <c r="Q27" i="4"/>
  <c r="N18" i="1" s="1"/>
  <c r="AE18" i="1" s="1"/>
  <c r="L31" i="4"/>
  <c r="I22" i="1" s="1"/>
  <c r="Z22" i="1" s="1"/>
  <c r="J29" i="4"/>
  <c r="G20" i="1" s="1"/>
  <c r="X20" i="1" s="1"/>
  <c r="J24" i="4"/>
  <c r="G15" i="1" s="1"/>
  <c r="X15" i="1" s="1"/>
  <c r="X60" i="1" s="1"/>
  <c r="K24" i="4"/>
  <c r="H15" i="1" s="1"/>
  <c r="Y15" i="1" s="1"/>
  <c r="Y60" i="1" s="1"/>
  <c r="K31" i="4"/>
  <c r="H22" i="1" s="1"/>
  <c r="Y22" i="1" s="1"/>
  <c r="L30" i="4"/>
  <c r="I21" i="1" s="1"/>
  <c r="Z21" i="1" s="1"/>
  <c r="M29" i="4"/>
  <c r="J20" i="1" s="1"/>
  <c r="AA20" i="1" s="1"/>
  <c r="N28" i="4"/>
  <c r="K19" i="1" s="1"/>
  <c r="AB19" i="1" s="1"/>
  <c r="O27" i="4"/>
  <c r="L18" i="1" s="1"/>
  <c r="AC18" i="1" s="1"/>
  <c r="P26" i="4"/>
  <c r="M17" i="1" s="1"/>
  <c r="AD17" i="1" s="1"/>
  <c r="Q25" i="4"/>
  <c r="N16" i="1" s="1"/>
  <c r="AE16" i="1" s="1"/>
  <c r="L27" i="4"/>
  <c r="I18" i="1" s="1"/>
  <c r="Z18" i="1" s="1"/>
  <c r="J25" i="4"/>
  <c r="G16" i="1" s="1"/>
  <c r="X16" i="1" s="1"/>
  <c r="W24" i="4"/>
  <c r="T15" i="1" s="1"/>
  <c r="AK15" i="1" s="1"/>
  <c r="AK60" i="1" s="1"/>
  <c r="W31" i="4"/>
  <c r="T22" i="1" s="1"/>
  <c r="AK22" i="1" s="1"/>
  <c r="X30" i="4"/>
  <c r="U21" i="1" s="1"/>
  <c r="AL21" i="1" s="1"/>
  <c r="Y29" i="4"/>
  <c r="V20" i="1" s="1"/>
  <c r="AM20" i="1" s="1"/>
  <c r="Z28" i="4"/>
  <c r="W19" i="1" s="1"/>
  <c r="AN19" i="1" s="1"/>
  <c r="J28" i="4"/>
  <c r="G19" i="1" s="1"/>
  <c r="X19" i="1" s="1"/>
  <c r="K27" i="4"/>
  <c r="H18" i="1" s="1"/>
  <c r="Y18" i="1" s="1"/>
  <c r="L26" i="4"/>
  <c r="I17" i="1" s="1"/>
  <c r="Z17" i="1" s="1"/>
  <c r="M25" i="4"/>
  <c r="J16" i="1" s="1"/>
  <c r="AA16" i="1" s="1"/>
  <c r="N24" i="4"/>
  <c r="K15" i="1" s="1"/>
  <c r="AB15" i="1" s="1"/>
  <c r="AB60" i="1" s="1"/>
  <c r="N31" i="4"/>
  <c r="K22" i="1" s="1"/>
  <c r="AB22" i="1" s="1"/>
  <c r="O30" i="4"/>
  <c r="L21" i="1" s="1"/>
  <c r="AC21" i="1" s="1"/>
  <c r="P29" i="4"/>
  <c r="M20" i="1" s="1"/>
  <c r="AD20" i="1" s="1"/>
  <c r="Q28" i="4"/>
  <c r="N19" i="1" s="1"/>
  <c r="AE19" i="1" s="1"/>
  <c r="R27" i="4"/>
  <c r="O18" i="1" s="1"/>
  <c r="AF18" i="1" s="1"/>
  <c r="S26" i="4"/>
  <c r="P17" i="1" s="1"/>
  <c r="AG17" i="1" s="1"/>
  <c r="T25" i="4"/>
  <c r="Q16" i="1" s="1"/>
  <c r="AH16" i="1" s="1"/>
  <c r="U24" i="4"/>
  <c r="R15" i="1" s="1"/>
  <c r="AI15" i="1" s="1"/>
  <c r="AI60" i="1" s="1"/>
  <c r="U31" i="4"/>
  <c r="R22" i="1" s="1"/>
  <c r="AI22" i="1" s="1"/>
  <c r="V30" i="4"/>
  <c r="S21" i="1" s="1"/>
  <c r="AJ21" i="1" s="1"/>
  <c r="W29" i="4"/>
  <c r="T20" i="1" s="1"/>
  <c r="AK20" i="1" s="1"/>
  <c r="X28" i="4"/>
  <c r="U19" i="1" s="1"/>
  <c r="AL19" i="1" s="1"/>
  <c r="Y27" i="4"/>
  <c r="V18" i="1" s="1"/>
  <c r="AM18" i="1" s="1"/>
  <c r="Z26" i="4"/>
  <c r="W17" i="1" s="1"/>
  <c r="AN17" i="1" s="1"/>
  <c r="J26" i="4"/>
  <c r="G17" i="1" s="1"/>
  <c r="X17" i="1" s="1"/>
  <c r="K25" i="4"/>
  <c r="H16" i="1" s="1"/>
  <c r="Y16" i="1" s="1"/>
  <c r="X31" i="4"/>
  <c r="U22" i="1" s="1"/>
  <c r="AL22" i="1" s="1"/>
  <c r="U30" i="4"/>
  <c r="R21" i="1" s="1"/>
  <c r="AI21" i="1" s="1"/>
  <c r="R29" i="4"/>
  <c r="O20" i="1" s="1"/>
  <c r="AF20" i="1" s="1"/>
  <c r="O28" i="4"/>
  <c r="L19" i="1" s="1"/>
  <c r="AC19" i="1" s="1"/>
  <c r="Y26" i="4"/>
  <c r="V17" i="1" s="1"/>
  <c r="AM17" i="1" s="1"/>
  <c r="V25" i="4"/>
  <c r="S16" i="1" s="1"/>
  <c r="AJ16" i="1" s="1"/>
  <c r="M30" i="4"/>
  <c r="J21" i="1" s="1"/>
  <c r="AA21" i="1" s="1"/>
  <c r="K28" i="4"/>
  <c r="H19" i="1" s="1"/>
  <c r="Y19" i="1" s="1"/>
  <c r="S24" i="4"/>
  <c r="P15" i="1" s="1"/>
  <c r="AG15" i="1" s="1"/>
  <c r="AG60" i="1" s="1"/>
  <c r="S31" i="4"/>
  <c r="P22" i="1" s="1"/>
  <c r="AG22" i="1" s="1"/>
  <c r="T30" i="4"/>
  <c r="Q21" i="1" s="1"/>
  <c r="AH21" i="1" s="1"/>
  <c r="U29" i="4"/>
  <c r="R20" i="1" s="1"/>
  <c r="AI20" i="1" s="1"/>
  <c r="V28" i="4"/>
  <c r="S19" i="1" s="1"/>
  <c r="AJ19" i="1" s="1"/>
  <c r="W27" i="4"/>
  <c r="T18" i="1" s="1"/>
  <c r="AK18" i="1" s="1"/>
  <c r="X26" i="4"/>
  <c r="U17" i="1" s="1"/>
  <c r="AL17" i="1" s="1"/>
  <c r="Y25" i="4"/>
  <c r="V16" i="1" s="1"/>
  <c r="AM16" i="1" s="1"/>
  <c r="Z24" i="4"/>
  <c r="W15" i="1" s="1"/>
  <c r="AN15" i="1" s="1"/>
  <c r="AN60" i="1" s="1"/>
  <c r="Z31" i="4"/>
  <c r="W22" i="1" s="1"/>
  <c r="AN22" i="1" s="1"/>
  <c r="J31" i="4"/>
  <c r="G22" i="1" s="1"/>
  <c r="X22" i="1" s="1"/>
  <c r="K30" i="4"/>
  <c r="H21" i="1" s="1"/>
  <c r="Y21" i="1" s="1"/>
  <c r="L29" i="4"/>
  <c r="I20" i="1" s="1"/>
  <c r="Z20" i="1" s="1"/>
  <c r="M28" i="4"/>
  <c r="J19" i="1" s="1"/>
  <c r="AA19" i="1" s="1"/>
  <c r="N27" i="4"/>
  <c r="K18" i="1" s="1"/>
  <c r="AB18" i="1" s="1"/>
  <c r="O26" i="4"/>
  <c r="L17" i="1" s="1"/>
  <c r="AC17" i="1" s="1"/>
  <c r="P25" i="4"/>
  <c r="M16" i="1" s="1"/>
  <c r="AD16" i="1" s="1"/>
  <c r="Q24" i="4"/>
  <c r="N15" i="1" s="1"/>
  <c r="AE15" i="1" s="1"/>
  <c r="AE60" i="1" s="1"/>
  <c r="Q31" i="4"/>
  <c r="N22" i="1" s="1"/>
  <c r="AE22" i="1" s="1"/>
  <c r="R30" i="4"/>
  <c r="O21" i="1" s="1"/>
  <c r="AF21" i="1" s="1"/>
  <c r="S29" i="4"/>
  <c r="P20" i="1" s="1"/>
  <c r="AG20" i="1" s="1"/>
  <c r="T28" i="4"/>
  <c r="Q19" i="1" s="1"/>
  <c r="AH19" i="1" s="1"/>
  <c r="U27" i="4"/>
  <c r="R18" i="1" s="1"/>
  <c r="AI18" i="1" s="1"/>
  <c r="V26" i="4"/>
  <c r="S17" i="1" s="1"/>
  <c r="AJ17" i="1" s="1"/>
  <c r="W25" i="4"/>
  <c r="T16" i="1" s="1"/>
  <c r="AK16" i="1" s="1"/>
  <c r="X24" i="4"/>
  <c r="U15" i="1" s="1"/>
  <c r="AL15" i="1" s="1"/>
  <c r="AL60" i="1" s="1"/>
  <c r="T31" i="4"/>
  <c r="Q22" i="1" s="1"/>
  <c r="AH22" i="1" s="1"/>
  <c r="Q30" i="4"/>
  <c r="N21" i="1" s="1"/>
  <c r="AE21" i="1" s="1"/>
  <c r="N29" i="4"/>
  <c r="K20" i="1" s="1"/>
  <c r="AB20" i="1" s="1"/>
  <c r="X27" i="4"/>
  <c r="U18" i="1" s="1"/>
  <c r="AL18" i="1" s="1"/>
  <c r="U26" i="4"/>
  <c r="R17" i="1" s="1"/>
  <c r="AI17" i="1" s="1"/>
  <c r="R25" i="4"/>
  <c r="O16" i="1" s="1"/>
  <c r="AF16" i="1" s="1"/>
  <c r="L24" i="4"/>
  <c r="I15" i="1" s="1"/>
  <c r="Z15" i="1" s="1"/>
  <c r="Z60" i="1" s="1"/>
  <c r="O24" i="4"/>
  <c r="L15" i="1" s="1"/>
  <c r="AC15" i="1" s="1"/>
  <c r="AC60" i="1" s="1"/>
  <c r="O31" i="4"/>
  <c r="L22" i="1" s="1"/>
  <c r="AC22" i="1" s="1"/>
  <c r="P30" i="4"/>
  <c r="M21" i="1" s="1"/>
  <c r="AD21" i="1" s="1"/>
  <c r="Q29" i="4"/>
  <c r="N20" i="1" s="1"/>
  <c r="AE20" i="1" s="1"/>
  <c r="R28" i="4"/>
  <c r="O19" i="1" s="1"/>
  <c r="AF19" i="1" s="1"/>
  <c r="S27" i="4"/>
  <c r="P18" i="1" s="1"/>
  <c r="AG18" i="1" s="1"/>
  <c r="T26" i="4"/>
  <c r="Q17" i="1" s="1"/>
  <c r="AH17" i="1" s="1"/>
  <c r="U25" i="4"/>
  <c r="R16" i="1" s="1"/>
  <c r="AI16" i="1" s="1"/>
  <c r="V24" i="4"/>
  <c r="S15" i="1" s="1"/>
  <c r="AJ15" i="1" s="1"/>
  <c r="AJ60" i="1" s="1"/>
  <c r="V31" i="4"/>
  <c r="S22" i="1" s="1"/>
  <c r="AJ22" i="1" s="1"/>
  <c r="X29" i="4"/>
  <c r="U20" i="1" s="1"/>
  <c r="AL20" i="1" s="1"/>
  <c r="Y28" i="4"/>
  <c r="V19" i="1" s="1"/>
  <c r="AM19" i="1" s="1"/>
  <c r="Z27" i="4"/>
  <c r="W18" i="1" s="1"/>
  <c r="AN18" i="1" s="1"/>
  <c r="K26" i="4"/>
  <c r="H17" i="1" s="1"/>
  <c r="Y17" i="1" s="1"/>
  <c r="M24" i="4"/>
  <c r="J15" i="1" s="1"/>
  <c r="AA15" i="1" s="1"/>
  <c r="AA60" i="1" s="1"/>
  <c r="N30" i="4"/>
  <c r="K21" i="1" s="1"/>
  <c r="AB21" i="1" s="1"/>
  <c r="T29" i="4"/>
  <c r="Q20" i="1" s="1"/>
  <c r="AH20" i="1" s="1"/>
  <c r="X25" i="4"/>
  <c r="U16" i="1" s="1"/>
  <c r="AL16" i="1" s="1"/>
  <c r="J30" i="4"/>
  <c r="G21" i="1" s="1"/>
  <c r="X21" i="1" s="1"/>
  <c r="M27" i="4"/>
  <c r="J18" i="1" s="1"/>
  <c r="AA18" i="1" s="1"/>
  <c r="O25" i="4"/>
  <c r="L16" i="1" s="1"/>
  <c r="AC16" i="1" s="1"/>
  <c r="Y30" i="4"/>
  <c r="V21" i="1" s="1"/>
  <c r="AM21" i="1" s="1"/>
  <c r="S28" i="4"/>
  <c r="P19" i="1" s="1"/>
  <c r="AG19" i="1" s="1"/>
  <c r="Z25" i="4"/>
  <c r="W16" i="1" s="1"/>
  <c r="AN16" i="1" s="1"/>
  <c r="T24" i="4"/>
  <c r="Q15" i="1" s="1"/>
  <c r="AH15" i="1" s="1"/>
  <c r="AH60" i="1" s="1"/>
  <c r="N25" i="4"/>
  <c r="K16" i="1" s="1"/>
  <c r="AB16" i="1" s="1"/>
  <c r="R24" i="4"/>
  <c r="O15" i="1" s="1"/>
  <c r="AF15" i="1" s="1"/>
  <c r="AF60" i="1" s="1"/>
  <c r="U28" i="4"/>
  <c r="R19" i="1" s="1"/>
  <c r="AI19" i="1" s="1"/>
  <c r="Y24" i="4"/>
  <c r="V15" i="1" s="1"/>
  <c r="AM15" i="1" s="1"/>
  <c r="AM60" i="1" s="1"/>
  <c r="K29" i="4"/>
  <c r="H20" i="1" s="1"/>
  <c r="Y20" i="1" s="1"/>
  <c r="R26" i="4"/>
  <c r="O17" i="1" s="1"/>
  <c r="AF17" i="1" s="1"/>
  <c r="Z29" i="4"/>
  <c r="W20" i="1" s="1"/>
  <c r="AN20" i="1" s="1"/>
  <c r="T27" i="4"/>
  <c r="Q18" i="1" s="1"/>
  <c r="AH18" i="1" s="1"/>
  <c r="R31" i="4"/>
  <c r="O22" i="1" s="1"/>
  <c r="AF22" i="1" s="1"/>
  <c r="V27" i="4"/>
  <c r="S18" i="1" s="1"/>
  <c r="AJ18" i="1" s="1"/>
  <c r="Y31" i="4"/>
  <c r="V22" i="1" s="1"/>
  <c r="AM22" i="1" s="1"/>
  <c r="P28" i="4"/>
  <c r="M19" i="1" s="1"/>
  <c r="AD19" i="1" s="1"/>
  <c r="N26" i="4"/>
  <c r="K17" i="1" s="1"/>
  <c r="AB17" i="1" s="1"/>
  <c r="P24" i="4"/>
  <c r="M15" i="1" s="1"/>
  <c r="AD15" i="1" s="1"/>
  <c r="AD60" i="1" s="1"/>
  <c r="V29" i="4"/>
  <c r="S20" i="1" s="1"/>
  <c r="AJ20" i="1" s="1"/>
  <c r="P27" i="4"/>
  <c r="M18" i="1" s="1"/>
  <c r="AD18" i="1" s="1"/>
  <c r="S30" i="4"/>
  <c r="P21" i="1" s="1"/>
  <c r="AG21" i="1" s="1"/>
  <c r="W26" i="4"/>
  <c r="T17" i="1" s="1"/>
  <c r="AK17" i="1" s="1"/>
  <c r="Z30" i="4"/>
  <c r="W21" i="1" s="1"/>
  <c r="AN21" i="1" s="1"/>
  <c r="L28" i="4"/>
  <c r="I19" i="1" s="1"/>
  <c r="Z19" i="1" s="1"/>
  <c r="S25" i="4"/>
  <c r="P16" i="1" s="1"/>
  <c r="AG16" i="1" s="1"/>
  <c r="P31" i="4"/>
  <c r="M22" i="1" s="1"/>
  <c r="AD22" i="1" s="1"/>
  <c r="W28" i="4"/>
  <c r="T19" i="1" s="1"/>
  <c r="AK19" i="1" s="1"/>
  <c r="Q26" i="4"/>
  <c r="N17" i="1" s="1"/>
  <c r="AE17" i="1" s="1"/>
  <c r="H8" i="5"/>
  <c r="H23" i="1" s="1"/>
  <c r="Y23" i="1" s="1"/>
  <c r="L8" i="5"/>
  <c r="L23" i="1" s="1"/>
  <c r="AC23" i="1" s="1"/>
  <c r="P8" i="5"/>
  <c r="P23" i="1" s="1"/>
  <c r="AG23" i="1" s="1"/>
  <c r="T8" i="5"/>
  <c r="T23" i="1" s="1"/>
  <c r="AK23" i="1" s="1"/>
  <c r="G8" i="5"/>
  <c r="G23" i="1" s="1"/>
  <c r="X23" i="1" s="1"/>
  <c r="J8" i="5"/>
  <c r="J23" i="1" s="1"/>
  <c r="AA23" i="1" s="1"/>
  <c r="R8" i="5"/>
  <c r="R23" i="1" s="1"/>
  <c r="AI23" i="1" s="1"/>
  <c r="O8" i="5"/>
  <c r="O23" i="1" s="1"/>
  <c r="AF23" i="1" s="1"/>
  <c r="W8" i="5"/>
  <c r="W23" i="1" s="1"/>
  <c r="AN23" i="1" s="1"/>
  <c r="I8" i="5"/>
  <c r="I23" i="1" s="1"/>
  <c r="Z23" i="1" s="1"/>
  <c r="M8" i="5"/>
  <c r="M23" i="1" s="1"/>
  <c r="AD23" i="1" s="1"/>
  <c r="Q8" i="5"/>
  <c r="Q23" i="1" s="1"/>
  <c r="AH23" i="1" s="1"/>
  <c r="U8" i="5"/>
  <c r="U23" i="1" s="1"/>
  <c r="AL23" i="1" s="1"/>
  <c r="N8" i="5"/>
  <c r="N23" i="1" s="1"/>
  <c r="AE23" i="1" s="1"/>
  <c r="V8" i="5"/>
  <c r="V23" i="1" s="1"/>
  <c r="AM23" i="1" s="1"/>
  <c r="K8" i="5"/>
  <c r="K23" i="1" s="1"/>
  <c r="AB23" i="1" s="1"/>
  <c r="S8" i="5"/>
  <c r="S23" i="1" s="1"/>
  <c r="AJ23" i="1" s="1"/>
  <c r="F44" i="1"/>
  <c r="F31" i="1"/>
  <c r="F26" i="1"/>
  <c r="F25" i="1"/>
  <c r="D55" i="1"/>
  <c r="L14" i="7" l="1"/>
  <c r="C17" i="7" s="1"/>
  <c r="J6" i="7"/>
  <c r="K3" i="7" s="1"/>
  <c r="L3" i="7" s="1"/>
  <c r="E53" i="1"/>
  <c r="E1" i="2"/>
  <c r="L4" i="7" l="1"/>
  <c r="C7" i="7" s="1"/>
  <c r="E44" i="1"/>
  <c r="Y53" i="1"/>
  <c r="Y62" i="1" s="1"/>
  <c r="Y64" i="1" s="1"/>
  <c r="AC53" i="1"/>
  <c r="AC62" i="1" s="1"/>
  <c r="AC64" i="1" s="1"/>
  <c r="AG53" i="1"/>
  <c r="AG62" i="1" s="1"/>
  <c r="AG64" i="1" s="1"/>
  <c r="AK53" i="1"/>
  <c r="AK62" i="1" s="1"/>
  <c r="AK64" i="1" s="1"/>
  <c r="X53" i="1"/>
  <c r="X62" i="1" s="1"/>
  <c r="X64" i="1" s="1"/>
  <c r="Z53" i="1"/>
  <c r="Z62" i="1" s="1"/>
  <c r="Z64" i="1" s="1"/>
  <c r="AD53" i="1"/>
  <c r="AD62" i="1" s="1"/>
  <c r="AD64" i="1" s="1"/>
  <c r="AH53" i="1"/>
  <c r="AH62" i="1" s="1"/>
  <c r="AH64" i="1" s="1"/>
  <c r="AL53" i="1"/>
  <c r="AL62" i="1" s="1"/>
  <c r="AL64" i="1" s="1"/>
  <c r="AE53" i="1"/>
  <c r="AE62" i="1" s="1"/>
  <c r="AE64" i="1" s="1"/>
  <c r="AI53" i="1"/>
  <c r="AI62" i="1" s="1"/>
  <c r="AI64" i="1" s="1"/>
  <c r="AB53" i="1"/>
  <c r="AB62" i="1" s="1"/>
  <c r="AB64" i="1" s="1"/>
  <c r="AF53" i="1"/>
  <c r="AF62" i="1" s="1"/>
  <c r="AF64" i="1" s="1"/>
  <c r="AJ53" i="1"/>
  <c r="AJ62" i="1" s="1"/>
  <c r="AJ64" i="1" s="1"/>
  <c r="AN53" i="1"/>
  <c r="AN62" i="1" s="1"/>
  <c r="AN64" i="1" s="1"/>
  <c r="AA53" i="1"/>
  <c r="AA62" i="1" s="1"/>
  <c r="AA64" i="1" s="1"/>
  <c r="AM53" i="1"/>
  <c r="AM62" i="1" s="1"/>
  <c r="AM64" i="1" s="1"/>
  <c r="H3" i="2"/>
  <c r="H16" i="2"/>
  <c r="D8" i="1" s="1"/>
  <c r="J58" i="1"/>
  <c r="H15" i="2"/>
  <c r="D7" i="1" s="1"/>
  <c r="W13" i="2"/>
  <c r="AE10" i="2"/>
  <c r="O8" i="2"/>
  <c r="W5" i="2"/>
  <c r="AE12" i="2"/>
  <c r="O10" i="2"/>
  <c r="W7" i="2"/>
  <c r="AE4" i="2"/>
  <c r="H2" i="2"/>
  <c r="O12" i="2"/>
  <c r="W9" i="2"/>
  <c r="AE6" i="2"/>
  <c r="O4" i="2"/>
  <c r="P2" i="2"/>
  <c r="W11" i="2"/>
  <c r="AE8" i="2"/>
  <c r="O6" i="2"/>
  <c r="W3" i="2"/>
  <c r="AB2" i="2"/>
  <c r="L2" i="2"/>
  <c r="S13" i="2"/>
  <c r="AA12" i="2"/>
  <c r="K12" i="2"/>
  <c r="S11" i="2"/>
  <c r="AA10" i="2"/>
  <c r="K10" i="2"/>
  <c r="S9" i="2"/>
  <c r="AA8" i="2"/>
  <c r="K8" i="2"/>
  <c r="S7" i="2"/>
  <c r="AA6" i="2"/>
  <c r="K6" i="2"/>
  <c r="S5" i="2"/>
  <c r="AA4" i="2"/>
  <c r="K4" i="2"/>
  <c r="S3" i="2"/>
  <c r="X2" i="2"/>
  <c r="AE13" i="2"/>
  <c r="O13" i="2"/>
  <c r="W12" i="2"/>
  <c r="AE11" i="2"/>
  <c r="O11" i="2"/>
  <c r="W10" i="2"/>
  <c r="AE9" i="2"/>
  <c r="O9" i="2"/>
  <c r="W8" i="2"/>
  <c r="AE7" i="2"/>
  <c r="O7" i="2"/>
  <c r="W6" i="2"/>
  <c r="AE5" i="2"/>
  <c r="O5" i="2"/>
  <c r="W4" i="2"/>
  <c r="AE3" i="2"/>
  <c r="O3" i="2"/>
  <c r="T2" i="2"/>
  <c r="AA13" i="2"/>
  <c r="K13" i="2"/>
  <c r="S12" i="2"/>
  <c r="AA11" i="2"/>
  <c r="K11" i="2"/>
  <c r="S10" i="2"/>
  <c r="AA9" i="2"/>
  <c r="K9" i="2"/>
  <c r="S8" i="2"/>
  <c r="AA7" i="2"/>
  <c r="K7" i="2"/>
  <c r="S6" i="2"/>
  <c r="AA5" i="2"/>
  <c r="K5" i="2"/>
  <c r="S4" i="2"/>
  <c r="AA3" i="2"/>
  <c r="K3" i="2"/>
  <c r="AE2" i="2"/>
  <c r="AA2" i="2"/>
  <c r="W2" i="2"/>
  <c r="S2" i="2"/>
  <c r="O2" i="2"/>
  <c r="K2" i="2"/>
  <c r="AD13" i="2"/>
  <c r="Z13" i="2"/>
  <c r="V13" i="2"/>
  <c r="R13" i="2"/>
  <c r="N13" i="2"/>
  <c r="J13" i="2"/>
  <c r="AD12" i="2"/>
  <c r="Z12" i="2"/>
  <c r="V12" i="2"/>
  <c r="R12" i="2"/>
  <c r="N12" i="2"/>
  <c r="J12" i="2"/>
  <c r="AD11" i="2"/>
  <c r="Z11" i="2"/>
  <c r="V11" i="2"/>
  <c r="R11" i="2"/>
  <c r="N11" i="2"/>
  <c r="J11" i="2"/>
  <c r="AD10" i="2"/>
  <c r="Z10" i="2"/>
  <c r="V10" i="2"/>
  <c r="R10" i="2"/>
  <c r="N10" i="2"/>
  <c r="J10" i="2"/>
  <c r="AD9" i="2"/>
  <c r="Z9" i="2"/>
  <c r="V9" i="2"/>
  <c r="R9" i="2"/>
  <c r="N9" i="2"/>
  <c r="J9" i="2"/>
  <c r="AD8" i="2"/>
  <c r="Z8" i="2"/>
  <c r="V8" i="2"/>
  <c r="R8" i="2"/>
  <c r="N8" i="2"/>
  <c r="J8" i="2"/>
  <c r="AD7" i="2"/>
  <c r="Z7" i="2"/>
  <c r="V7" i="2"/>
  <c r="R7" i="2"/>
  <c r="N7" i="2"/>
  <c r="J7" i="2"/>
  <c r="AD6" i="2"/>
  <c r="Z6" i="2"/>
  <c r="V6" i="2"/>
  <c r="R6" i="2"/>
  <c r="N6" i="2"/>
  <c r="J6" i="2"/>
  <c r="AD5" i="2"/>
  <c r="Z5" i="2"/>
  <c r="V5" i="2"/>
  <c r="R5" i="2"/>
  <c r="N5" i="2"/>
  <c r="J5" i="2"/>
  <c r="AD4" i="2"/>
  <c r="Z4" i="2"/>
  <c r="V4" i="2"/>
  <c r="R4" i="2"/>
  <c r="N4" i="2"/>
  <c r="J4" i="2"/>
  <c r="AD3" i="2"/>
  <c r="Z3" i="2"/>
  <c r="V3" i="2"/>
  <c r="R3" i="2"/>
  <c r="N3" i="2"/>
  <c r="J3" i="2"/>
  <c r="AD2" i="2"/>
  <c r="Z2" i="2"/>
  <c r="V2" i="2"/>
  <c r="R2" i="2"/>
  <c r="N2" i="2"/>
  <c r="J2" i="2"/>
  <c r="AC13" i="2"/>
  <c r="Y13" i="2"/>
  <c r="U13" i="2"/>
  <c r="Q13" i="2"/>
  <c r="M13" i="2"/>
  <c r="I13" i="2"/>
  <c r="AC12" i="2"/>
  <c r="Y12" i="2"/>
  <c r="U12" i="2"/>
  <c r="Q12" i="2"/>
  <c r="M12" i="2"/>
  <c r="I12" i="2"/>
  <c r="AC11" i="2"/>
  <c r="Y11" i="2"/>
  <c r="U11" i="2"/>
  <c r="Q11" i="2"/>
  <c r="M11" i="2"/>
  <c r="I11" i="2"/>
  <c r="AC10" i="2"/>
  <c r="Y10" i="2"/>
  <c r="U10" i="2"/>
  <c r="Q10" i="2"/>
  <c r="M10" i="2"/>
  <c r="I10" i="2"/>
  <c r="AC9" i="2"/>
  <c r="Y9" i="2"/>
  <c r="U9" i="2"/>
  <c r="Q9" i="2"/>
  <c r="M9" i="2"/>
  <c r="I9" i="2"/>
  <c r="AC8" i="2"/>
  <c r="Y8" i="2"/>
  <c r="U8" i="2"/>
  <c r="Q8" i="2"/>
  <c r="M8" i="2"/>
  <c r="I8" i="2"/>
  <c r="AC7" i="2"/>
  <c r="Y7" i="2"/>
  <c r="U7" i="2"/>
  <c r="Q7" i="2"/>
  <c r="M7" i="2"/>
  <c r="I7" i="2"/>
  <c r="AC6" i="2"/>
  <c r="Y6" i="2"/>
  <c r="U6" i="2"/>
  <c r="Q6" i="2"/>
  <c r="M6" i="2"/>
  <c r="I6" i="2"/>
  <c r="AC5" i="2"/>
  <c r="Y5" i="2"/>
  <c r="U5" i="2"/>
  <c r="Q5" i="2"/>
  <c r="M5" i="2"/>
  <c r="I5" i="2"/>
  <c r="AC4" i="2"/>
  <c r="Y4" i="2"/>
  <c r="U4" i="2"/>
  <c r="Q4" i="2"/>
  <c r="M4" i="2"/>
  <c r="I4" i="2"/>
  <c r="AC3" i="2"/>
  <c r="Y3" i="2"/>
  <c r="U3" i="2"/>
  <c r="Q3" i="2"/>
  <c r="M3" i="2"/>
  <c r="I3" i="2"/>
  <c r="AC2" i="2"/>
  <c r="Y2" i="2"/>
  <c r="U2" i="2"/>
  <c r="Q2" i="2"/>
  <c r="M2" i="2"/>
  <c r="I2" i="2"/>
  <c r="AB13" i="2"/>
  <c r="X13" i="2"/>
  <c r="T13" i="2"/>
  <c r="P13" i="2"/>
  <c r="L13" i="2"/>
  <c r="H13" i="2"/>
  <c r="AB12" i="2"/>
  <c r="X12" i="2"/>
  <c r="T12" i="2"/>
  <c r="P12" i="2"/>
  <c r="L12" i="2"/>
  <c r="H12" i="2"/>
  <c r="AB11" i="2"/>
  <c r="X11" i="2"/>
  <c r="T11" i="2"/>
  <c r="P11" i="2"/>
  <c r="L11" i="2"/>
  <c r="H11" i="2"/>
  <c r="AB10" i="2"/>
  <c r="X10" i="2"/>
  <c r="T10" i="2"/>
  <c r="P10" i="2"/>
  <c r="L10" i="2"/>
  <c r="H10" i="2"/>
  <c r="AB9" i="2"/>
  <c r="X9" i="2"/>
  <c r="T9" i="2"/>
  <c r="P9" i="2"/>
  <c r="L9" i="2"/>
  <c r="H9" i="2"/>
  <c r="AB8" i="2"/>
  <c r="X8" i="2"/>
  <c r="T8" i="2"/>
  <c r="P8" i="2"/>
  <c r="L8" i="2"/>
  <c r="H8" i="2"/>
  <c r="AB7" i="2"/>
  <c r="X7" i="2"/>
  <c r="T7" i="2"/>
  <c r="P7" i="2"/>
  <c r="L7" i="2"/>
  <c r="H7" i="2"/>
  <c r="AB6" i="2"/>
  <c r="X6" i="2"/>
  <c r="T6" i="2"/>
  <c r="P6" i="2"/>
  <c r="L6" i="2"/>
  <c r="H6" i="2"/>
  <c r="AB5" i="2"/>
  <c r="X5" i="2"/>
  <c r="T5" i="2"/>
  <c r="P5" i="2"/>
  <c r="L5" i="2"/>
  <c r="H5" i="2"/>
  <c r="AB4" i="2"/>
  <c r="X4" i="2"/>
  <c r="T4" i="2"/>
  <c r="P4" i="2"/>
  <c r="L4" i="2"/>
  <c r="H4" i="2"/>
  <c r="AB3" i="2"/>
  <c r="X3" i="2"/>
  <c r="T3" i="2"/>
  <c r="P3" i="2"/>
  <c r="L3" i="2"/>
  <c r="N48" i="1"/>
  <c r="G48" i="1"/>
  <c r="K48" i="1"/>
  <c r="R48" i="1"/>
  <c r="T48" i="1"/>
  <c r="M48" i="1"/>
  <c r="S48" i="1"/>
  <c r="J48" i="1"/>
  <c r="V48" i="1"/>
  <c r="W48" i="1"/>
  <c r="O48" i="1"/>
  <c r="P48" i="1"/>
  <c r="U48" i="1"/>
  <c r="L48" i="1"/>
  <c r="H48" i="1"/>
  <c r="Q48" i="1"/>
  <c r="I48" i="1"/>
  <c r="AB44" i="1" l="1"/>
  <c r="AF44" i="1"/>
  <c r="AJ44" i="1"/>
  <c r="AN44" i="1"/>
  <c r="AA44" i="1"/>
  <c r="AI44" i="1"/>
  <c r="Y44" i="1"/>
  <c r="AC44" i="1"/>
  <c r="AG44" i="1"/>
  <c r="AK44" i="1"/>
  <c r="X44" i="1"/>
  <c r="AE44" i="1"/>
  <c r="AM44" i="1"/>
  <c r="Z44" i="1"/>
  <c r="AD44" i="1"/>
  <c r="AH44" i="1"/>
  <c r="AL44" i="1"/>
  <c r="AN48" i="1"/>
  <c r="AN66" i="1" s="1"/>
  <c r="AN70" i="1" s="1"/>
  <c r="AN72" i="1" s="1"/>
  <c r="Z48" i="1"/>
  <c r="Z66" i="1" s="1"/>
  <c r="Y48" i="1"/>
  <c r="Y66" i="1" s="1"/>
  <c r="Y70" i="1" s="1"/>
  <c r="Y72" i="1" s="1"/>
  <c r="AA48" i="1"/>
  <c r="AA66" i="1" s="1"/>
  <c r="F48" i="1"/>
  <c r="AG48" i="1" s="1"/>
  <c r="AG66" i="1" s="1"/>
  <c r="AG70" i="1" s="1"/>
  <c r="AG72" i="1" s="1"/>
  <c r="Z58" i="1"/>
  <c r="Z68" i="1" s="1"/>
  <c r="AD58" i="1"/>
  <c r="AD68" i="1" s="1"/>
  <c r="AH58" i="1"/>
  <c r="AH68" i="1" s="1"/>
  <c r="AL58" i="1"/>
  <c r="AL68" i="1" s="1"/>
  <c r="AE58" i="1"/>
  <c r="AE68" i="1" s="1"/>
  <c r="AI58" i="1"/>
  <c r="AI68" i="1" s="1"/>
  <c r="AM58" i="1"/>
  <c r="AM68" i="1" s="1"/>
  <c r="AB58" i="1"/>
  <c r="AB68" i="1" s="1"/>
  <c r="AF58" i="1"/>
  <c r="AF68" i="1" s="1"/>
  <c r="AN58" i="1"/>
  <c r="AN68" i="1" s="1"/>
  <c r="AC58" i="1"/>
  <c r="AC68" i="1" s="1"/>
  <c r="AK58" i="1"/>
  <c r="AK68" i="1" s="1"/>
  <c r="AA58" i="1"/>
  <c r="AA68" i="1" s="1"/>
  <c r="AJ58" i="1"/>
  <c r="AJ68" i="1" s="1"/>
  <c r="Y58" i="1"/>
  <c r="Y68" i="1" s="1"/>
  <c r="AG58" i="1"/>
  <c r="AG68" i="1" s="1"/>
  <c r="X58" i="1"/>
  <c r="X68" i="1" s="1"/>
  <c r="AF48" i="1" l="1"/>
  <c r="AF66" i="1" s="1"/>
  <c r="AF70" i="1" s="1"/>
  <c r="AF72" i="1" s="1"/>
  <c r="AF76" i="1" s="1"/>
  <c r="AD48" i="1"/>
  <c r="AD66" i="1" s="1"/>
  <c r="AD70" i="1" s="1"/>
  <c r="AD72" i="1" s="1"/>
  <c r="AD76" i="1" s="1"/>
  <c r="AB48" i="1"/>
  <c r="AB66" i="1" s="1"/>
  <c r="AB70" i="1" s="1"/>
  <c r="AB72" i="1" s="1"/>
  <c r="AB74" i="1" s="1"/>
  <c r="AM48" i="1"/>
  <c r="AM66" i="1" s="1"/>
  <c r="AM70" i="1" s="1"/>
  <c r="AM72" i="1" s="1"/>
  <c r="AM74" i="1" s="1"/>
  <c r="AE48" i="1"/>
  <c r="AE66" i="1" s="1"/>
  <c r="AE70" i="1" s="1"/>
  <c r="AE72" i="1" s="1"/>
  <c r="AE74" i="1" s="1"/>
  <c r="AC48" i="1"/>
  <c r="AC66" i="1" s="1"/>
  <c r="AC70" i="1" s="1"/>
  <c r="AC72" i="1" s="1"/>
  <c r="AC76" i="1" s="1"/>
  <c r="AI48" i="1"/>
  <c r="AI66" i="1" s="1"/>
  <c r="AI70" i="1" s="1"/>
  <c r="AI72" i="1" s="1"/>
  <c r="AI76" i="1" s="1"/>
  <c r="AL48" i="1"/>
  <c r="AL66" i="1" s="1"/>
  <c r="AL70" i="1" s="1"/>
  <c r="AL72" i="1" s="1"/>
  <c r="AL76" i="1" s="1"/>
  <c r="AJ48" i="1"/>
  <c r="AJ66" i="1" s="1"/>
  <c r="AJ70" i="1" s="1"/>
  <c r="AJ72" i="1" s="1"/>
  <c r="AJ76" i="1" s="1"/>
  <c r="AA70" i="1"/>
  <c r="AA72" i="1" s="1"/>
  <c r="AA74" i="1" s="1"/>
  <c r="Z70" i="1"/>
  <c r="Z72" i="1" s="1"/>
  <c r="Z76" i="1" s="1"/>
  <c r="AH48" i="1"/>
  <c r="AH66" i="1" s="1"/>
  <c r="AH70" i="1" s="1"/>
  <c r="AH72" i="1" s="1"/>
  <c r="AH76" i="1" s="1"/>
  <c r="AK48" i="1"/>
  <c r="AK66" i="1" s="1"/>
  <c r="AK70" i="1" s="1"/>
  <c r="AK72" i="1" s="1"/>
  <c r="AK76" i="1" s="1"/>
  <c r="X48" i="1"/>
  <c r="X66" i="1" s="1"/>
  <c r="X70" i="1" s="1"/>
  <c r="X72" i="1" s="1"/>
  <c r="X76" i="1" s="1"/>
  <c r="AG76" i="1"/>
  <c r="AG74" i="1"/>
  <c r="Y76" i="1"/>
  <c r="Y74" i="1"/>
  <c r="AN76" i="1"/>
  <c r="AN74" i="1"/>
  <c r="AB76" i="1"/>
  <c r="AI74" i="1" l="1"/>
  <c r="AJ74" i="1"/>
  <c r="AA76" i="1"/>
  <c r="AD74" i="1"/>
  <c r="AC74" i="1"/>
  <c r="AF74" i="1"/>
  <c r="X74" i="1"/>
  <c r="AK74" i="1"/>
  <c r="AE76" i="1"/>
  <c r="Z74" i="1"/>
  <c r="AH74" i="1"/>
  <c r="AM76" i="1"/>
  <c r="AL74" i="1"/>
  <c r="C79" i="1"/>
  <c r="C80" i="1" s="1"/>
  <c r="C81" i="1"/>
</calcChain>
</file>

<file path=xl/sharedStrings.xml><?xml version="1.0" encoding="utf-8"?>
<sst xmlns="http://schemas.openxmlformats.org/spreadsheetml/2006/main" count="836" uniqueCount="282">
  <si>
    <t>City List</t>
  </si>
  <si>
    <t>Jaffna</t>
  </si>
  <si>
    <t>Mannar</t>
  </si>
  <si>
    <t>Puttalam</t>
  </si>
  <si>
    <t>Colombo</t>
  </si>
  <si>
    <t>Galle</t>
  </si>
  <si>
    <t>Trincomalee</t>
  </si>
  <si>
    <t>Hambantota</t>
  </si>
  <si>
    <t>Anuradhapura</t>
  </si>
  <si>
    <t>Kandy</t>
  </si>
  <si>
    <t>Cooling_Load_Calculation</t>
  </si>
  <si>
    <t>Select the nearest city</t>
  </si>
  <si>
    <t>City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</si>
  <si>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</si>
  <si>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</si>
  <si>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</si>
  <si>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</si>
  <si>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</si>
  <si>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</si>
  <si>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</si>
  <si>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</si>
  <si>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</si>
  <si>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</si>
  <si>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</si>
  <si>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</si>
  <si>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</si>
  <si>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2021-3-15 to 2022-2-15</t>
  </si>
  <si>
    <t>Design Temperature (c)</t>
  </si>
  <si>
    <t>https://www.worldweatheronline.com/anuradhapura-weather-history/north-central/lk.aspx</t>
  </si>
  <si>
    <t>https://www.worldweatheronline.com/galle-weather-history/southern/lk.aspx</t>
  </si>
  <si>
    <t>to be added</t>
  </si>
  <si>
    <t>A</t>
  </si>
  <si>
    <t>Estimation of External Loads</t>
  </si>
  <si>
    <t>Sensible Load</t>
  </si>
  <si>
    <t>Hour</t>
  </si>
  <si>
    <t>A.1</t>
  </si>
  <si>
    <t>Heat transfer through opaque surfaces</t>
  </si>
  <si>
    <t>6am</t>
  </si>
  <si>
    <t>7am</t>
  </si>
  <si>
    <t>8am</t>
  </si>
  <si>
    <t>9am</t>
  </si>
  <si>
    <t>10am</t>
  </si>
  <si>
    <t>11am</t>
  </si>
  <si>
    <t>12am</t>
  </si>
  <si>
    <t>1pm</t>
  </si>
  <si>
    <t>2pm</t>
  </si>
  <si>
    <t>3pm</t>
  </si>
  <si>
    <t>4pm</t>
  </si>
  <si>
    <t>5pm</t>
  </si>
  <si>
    <t>6pm</t>
  </si>
  <si>
    <t>7pm</t>
  </si>
  <si>
    <t>8pm</t>
  </si>
  <si>
    <t>9pm</t>
  </si>
  <si>
    <t>10pm</t>
  </si>
  <si>
    <t>U</t>
  </si>
  <si>
    <t>CLTD</t>
  </si>
  <si>
    <t>External sunlit walls - North</t>
  </si>
  <si>
    <t>External sunlit walls - South</t>
  </si>
  <si>
    <t>External sunlit walls - East</t>
  </si>
  <si>
    <t>External sunlit walls - West</t>
  </si>
  <si>
    <t>Roofs</t>
  </si>
  <si>
    <t>Ti</t>
  </si>
  <si>
    <t>To</t>
  </si>
  <si>
    <t>Q=U.A.(To-Ti)</t>
  </si>
  <si>
    <t>Floors</t>
  </si>
  <si>
    <t>Doors</t>
  </si>
  <si>
    <t>A.2</t>
  </si>
  <si>
    <t>Heat transfer through fenestration/transparent surfaces</t>
  </si>
  <si>
    <t>Heat transfer by conduction</t>
  </si>
  <si>
    <t>Window glass</t>
  </si>
  <si>
    <t>SC</t>
  </si>
  <si>
    <t>Heat transfer by solar radiation</t>
  </si>
  <si>
    <t>A.4</t>
  </si>
  <si>
    <t>Load due to ventilated air</t>
  </si>
  <si>
    <t>Latent Load</t>
  </si>
  <si>
    <t>B</t>
  </si>
  <si>
    <t>Estimation of Internal Loads</t>
  </si>
  <si>
    <t>N</t>
  </si>
  <si>
    <t>SensibleHeatGain/Person</t>
  </si>
  <si>
    <t>CLF</t>
  </si>
  <si>
    <t>B.1</t>
  </si>
  <si>
    <t>Load due to occupants</t>
  </si>
  <si>
    <t>Wattage</t>
  </si>
  <si>
    <t>UF</t>
  </si>
  <si>
    <t>BF</t>
  </si>
  <si>
    <t>Q=(Wattage).UF.BF.CLF</t>
  </si>
  <si>
    <t>B.2</t>
  </si>
  <si>
    <t>Load due to lighting</t>
  </si>
  <si>
    <t>LatentHeatGain/Person</t>
  </si>
  <si>
    <t>Total Sensible Load - External</t>
  </si>
  <si>
    <t>Total Sensible Load - Internal</t>
  </si>
  <si>
    <t>Total Sensible Load</t>
  </si>
  <si>
    <t>Total Latent Load - External</t>
  </si>
  <si>
    <t>Total Latent Load - Internal</t>
  </si>
  <si>
    <t>Total Latent Load</t>
  </si>
  <si>
    <t>Total Cooling Load</t>
  </si>
  <si>
    <t>Room Sensible Heat Factor</t>
  </si>
  <si>
    <t>https://www.worldweatheronline.com/colombo-weather/western/lk.aspx</t>
  </si>
  <si>
    <t>Total Floor area</t>
  </si>
  <si>
    <t>Relative Humidity</t>
  </si>
  <si>
    <t>https://weather-and-climate.com/average-monthly-Humidity-perc,Colombo,Sri-Lanka</t>
  </si>
  <si>
    <t>https://weather-and-climate.com/average-monthly-Humidity-perc,anuradhapura,Sri-Lanka</t>
  </si>
  <si>
    <t>https://www.weatheronline.co.uk/weather/maps/city?LANG=en&amp;CEL=C&amp;SI=mph&amp;MAPS=over&amp;CONT=asie&amp;LAND=SB&amp;REGION=0024&amp;WMO=43421&amp;UP=0&amp;R=0&amp;LEVEL=150&amp;NOREGION=1</t>
  </si>
  <si>
    <t>RH</t>
  </si>
  <si>
    <t>Avg. Relative Humidity</t>
  </si>
  <si>
    <t>Constant</t>
  </si>
  <si>
    <t>Q</t>
  </si>
  <si>
    <t>Humidity Ratio Difference</t>
  </si>
  <si>
    <t>Atmosperic Pressure</t>
  </si>
  <si>
    <t>https://www.mide.com/air-pressure-at-altitude-calculator</t>
  </si>
  <si>
    <t>atm. Pressure</t>
  </si>
  <si>
    <t>Design Relative Humidity</t>
  </si>
  <si>
    <t>Q=Positive of (SI conversion*Constant*Q*Humidity Ratio Difference)</t>
  </si>
  <si>
    <t>DF</t>
  </si>
  <si>
    <t>Q=DF.N.(SensibleHeatGain/Person).CLF</t>
  </si>
  <si>
    <t>Q=DF.N.(LatentHeatGain/Person)</t>
  </si>
  <si>
    <t>External sunlit walls - NE</t>
  </si>
  <si>
    <t>External sunlit walls - SE</t>
  </si>
  <si>
    <t>External sunlit walls - SW</t>
  </si>
  <si>
    <t>External sunlit walls - NW</t>
  </si>
  <si>
    <t>Windows - North</t>
  </si>
  <si>
    <t>Windows - NE</t>
  </si>
  <si>
    <t>Windows - East</t>
  </si>
  <si>
    <t>Windows - SE</t>
  </si>
  <si>
    <t>Windows - South</t>
  </si>
  <si>
    <t>Windows - SW</t>
  </si>
  <si>
    <t>Windows - West</t>
  </si>
  <si>
    <t>Windows - NW</t>
  </si>
  <si>
    <t>Select the environment</t>
  </si>
  <si>
    <t>Environment</t>
  </si>
  <si>
    <t>Environment List</t>
  </si>
  <si>
    <t>Industrial</t>
  </si>
  <si>
    <t>Rural</t>
  </si>
  <si>
    <t>K value</t>
  </si>
  <si>
    <t>Wall Name</t>
  </si>
  <si>
    <t>Group</t>
  </si>
  <si>
    <t>Thickness (m)</t>
  </si>
  <si>
    <t>U Value (Btu/hr.ft2.F)</t>
  </si>
  <si>
    <t>Rate per sq.m</t>
  </si>
  <si>
    <t>Wall 1</t>
  </si>
  <si>
    <t>Wall 2</t>
  </si>
  <si>
    <t>Wall 3</t>
  </si>
  <si>
    <t>Wall 4</t>
  </si>
  <si>
    <t>Wall 5</t>
  </si>
  <si>
    <t>D</t>
  </si>
  <si>
    <t>F</t>
  </si>
  <si>
    <t>G</t>
  </si>
  <si>
    <t>Window Name</t>
  </si>
  <si>
    <t>Shading Coefficient</t>
  </si>
  <si>
    <t>Window 1</t>
  </si>
  <si>
    <t>Window 2</t>
  </si>
  <si>
    <t>Window 3</t>
  </si>
  <si>
    <t>Door Name</t>
  </si>
  <si>
    <t>Floor Name</t>
  </si>
  <si>
    <t>Door 1</t>
  </si>
  <si>
    <t>Door 2</t>
  </si>
  <si>
    <t>Floor 1</t>
  </si>
  <si>
    <t>Floor 2</t>
  </si>
  <si>
    <t>Roof Name</t>
  </si>
  <si>
    <t>4In L.W. Concrete</t>
  </si>
  <si>
    <t>2In H.W. Concrete with 1In. Insulation</t>
  </si>
  <si>
    <t>6In L.W. Concrete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</si>
  <si>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</si>
  <si>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</si>
  <si>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</si>
  <si>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</si>
  <si>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</si>
  <si>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</si>
  <si>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</si>
  <si>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</si>
  <si>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</si>
  <si>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</si>
  <si>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</si>
  <si>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</si>
  <si>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</si>
  <si>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</si>
  <si>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</si>
  <si>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</si>
  <si>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</si>
  <si>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Monthly Variable</t>
  </si>
  <si>
    <t>Direction</t>
  </si>
  <si>
    <t>E</t>
  </si>
  <si>
    <t>NE</t>
  </si>
  <si>
    <t>SE</t>
  </si>
  <si>
    <t>SW</t>
  </si>
  <si>
    <t>W</t>
  </si>
  <si>
    <t>NW</t>
  </si>
  <si>
    <t>S</t>
  </si>
  <si>
    <t>SHGF</t>
  </si>
  <si>
    <t>SHGF, max</t>
  </si>
  <si>
    <t>Selected SHGF</t>
  </si>
  <si>
    <t>Value</t>
  </si>
  <si>
    <t>A in ft</t>
  </si>
  <si>
    <t>CLTD not adjusted</t>
  </si>
  <si>
    <t>Selected Roof</t>
  </si>
  <si>
    <t>Latitude Month Correction</t>
  </si>
  <si>
    <t>LM</t>
  </si>
  <si>
    <t>Selected LM</t>
  </si>
  <si>
    <t>CLTD Final</t>
  </si>
  <si>
    <t>Wall Group</t>
  </si>
  <si>
    <t>CLTD of selected group</t>
  </si>
  <si>
    <t>CLTD of all groups</t>
  </si>
  <si>
    <t>Group A</t>
  </si>
  <si>
    <t>Group B</t>
  </si>
  <si>
    <t>Group C</t>
  </si>
  <si>
    <t>Group D</t>
  </si>
  <si>
    <t>Group E</t>
  </si>
  <si>
    <t>Group F</t>
  </si>
  <si>
    <t>Group G</t>
  </si>
  <si>
    <t>LM for selected month</t>
  </si>
  <si>
    <t>Final CLTD</t>
  </si>
  <si>
    <t>U Value (W/m²K)</t>
  </si>
  <si>
    <t>Q=(0.293071).U.A.CLTD</t>
  </si>
  <si>
    <t>Q=(0.293071).(A).(SHGF,max).SC.CLF</t>
  </si>
  <si>
    <t>Q=(0.293071)*(Constant)*(Q)*(Temperature difference in F)</t>
  </si>
  <si>
    <t>Required Cooling Load</t>
  </si>
  <si>
    <t>Total cooling load per day</t>
  </si>
  <si>
    <t>Wh</t>
  </si>
  <si>
    <t>kWh</t>
  </si>
  <si>
    <t>Embodied Energy (MJ/m²)</t>
  </si>
  <si>
    <t>Embodied Carbon (kg/m²)</t>
  </si>
  <si>
    <t>AC System Name</t>
  </si>
  <si>
    <t>Capacity (kW)</t>
  </si>
  <si>
    <t>Cost (Rs.)</t>
  </si>
  <si>
    <t>Floor mounted - Inverter (48000BTU)</t>
  </si>
  <si>
    <t>Wall mounted - Inverter (24000BTU)</t>
  </si>
  <si>
    <t>Ceiling Mounted - Inverter (48000BTU)</t>
  </si>
  <si>
    <t>AC system replacement period (Years)</t>
  </si>
  <si>
    <t>Peak cooling load</t>
  </si>
  <si>
    <t>Life cycle period of Building (Years)</t>
  </si>
  <si>
    <t>Average unit energy cost (LKR/kWh)</t>
  </si>
  <si>
    <t>Co2 emission per Unit energy (kg/kWh)</t>
  </si>
  <si>
    <t>A1 Matrix</t>
  </si>
  <si>
    <t>A2 Matrix</t>
  </si>
  <si>
    <t>A3 Matrix</t>
  </si>
  <si>
    <t>A4 Matrix</t>
  </si>
  <si>
    <t>Consistency Index</t>
  </si>
  <si>
    <t>Consistency Ratio</t>
  </si>
  <si>
    <t>No</t>
  </si>
  <si>
    <t>Attributes</t>
  </si>
  <si>
    <t>(Sum)</t>
  </si>
  <si>
    <t>(Average)</t>
  </si>
  <si>
    <t>Weightage</t>
  </si>
  <si>
    <t>Impact</t>
  </si>
  <si>
    <t>Energy</t>
  </si>
  <si>
    <t>Cost</t>
  </si>
  <si>
    <t>CO2</t>
  </si>
  <si>
    <t>Pro Economic Scenario - Pair-Wise Comparison - A0 Matrix</t>
  </si>
  <si>
    <t>Sustainable Friendly Scenario - Pair-Wise Comparison - A0 Matrix</t>
  </si>
  <si>
    <t>Total Energy</t>
  </si>
  <si>
    <t>Capital Cost</t>
  </si>
  <si>
    <t>System Cost</t>
  </si>
  <si>
    <t>Embodied Carbon</t>
  </si>
  <si>
    <t>Net-Zero Scenario - Pair-Wise Comparison - A0 Matrix</t>
  </si>
  <si>
    <t>Pro Economic Scenario</t>
  </si>
  <si>
    <t>Total Cost</t>
  </si>
  <si>
    <t>Total Co2</t>
  </si>
  <si>
    <t>Sum of Squares</t>
  </si>
  <si>
    <t>Sq. Root</t>
  </si>
  <si>
    <t>Ideal Best Value</t>
  </si>
  <si>
    <t>Ideal Worst Value</t>
  </si>
  <si>
    <t>Sustainable Friendly Scenario</t>
  </si>
  <si>
    <t>Net-Zero Scenario</t>
  </si>
  <si>
    <t>Parameter</t>
  </si>
  <si>
    <t>Embodied Co2</t>
  </si>
  <si>
    <t>Pro Economic Scenario Optimum Combination</t>
  </si>
  <si>
    <t>Sustainable Friendly Scenario Optimum Combination</t>
  </si>
  <si>
    <t>Net-Zero Scenario Optimum Combination</t>
  </si>
  <si>
    <t>Count</t>
  </si>
  <si>
    <t>Width</t>
  </si>
  <si>
    <t>Height</t>
  </si>
  <si>
    <t>Area</t>
  </si>
  <si>
    <t>Name</t>
  </si>
  <si>
    <t>Elevation</t>
  </si>
  <si>
    <t>Ground Floor</t>
  </si>
  <si>
    <t>First Floor</t>
  </si>
  <si>
    <t>Second Floor</t>
  </si>
  <si>
    <t>Roof Top</t>
  </si>
  <si>
    <t>Vector(X = 0.000, Y = 1.000, Z = 0.000, Length = 1.000)</t>
  </si>
  <si>
    <t>Vector(X = -1.000, Y = 0.000, Z = 0.000, Length = 1.000)</t>
  </si>
  <si>
    <t>Vector(X = 1.000, Y = 0.000, Z = 0.000, Length = 1.000)</t>
  </si>
  <si>
    <t>Vector(X = 0.000, Y = -1.000, Z = 0.000, Length = 1.000)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</si>
</sst>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</font>
    <font>
      <sz val="10"/>
      <name val="Arial"/>
    </font>
    <font>
      <sz val="10"/>
      <color theme="1"/>
      <name val="Arial"/>
    </font>
    <font>
      <sz val="11"/>
      <color rgb="FF000000"/>
      <name val="Inconsolata"/>
    </font>
    <font>
      <sz val="8"/>
      <color theme="1"/>
      <name val="Arial"/>
    </font>
  </fonts>
  <fills count="2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rgb="FFF4CCCC"/>
        <bgColor rgb="FFF4CCCC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D9D9D9"/>
        <bgColor rgb="FFD9D9D9"/>
      </patternFill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260">
    <xf numFmtId="0" fontId="0" fillId="0" borderId="0" xfId="0"/>
    <xf numFmtId="0" fontId="2" fillId="0" borderId="0" xfId="0" applyFont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1" fillId="5" borderId="1" xfId="0" applyFont="1" applyFill="1" applyBorder="1"/>
    <xf numFmtId="0" fontId="2" fillId="5" borderId="4" xfId="0" applyFont="1" applyFill="1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5" xfId="0" applyFill="1" applyBorder="1"/>
    <xf numFmtId="0" fontId="0" fillId="2" borderId="10" xfId="0" applyFill="1" applyBorder="1"/>
    <xf numFmtId="0" fontId="0" fillId="0" borderId="11" xfId="0" applyBorder="1"/>
    <xf numFmtId="0" fontId="0" fillId="0" borderId="12" xfId="0" applyBorder="1"/>
    <xf numFmtId="0" fontId="5" fillId="0" borderId="0" xfId="0" applyFont="1" applyBorder="1"/>
    <xf numFmtId="0" fontId="0" fillId="0" borderId="0" xfId="0" applyAlignment="1">
      <alignment horizontal="center"/>
    </xf>
    <xf numFmtId="0" fontId="0" fillId="6" borderId="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0" borderId="6" xfId="0" applyBorder="1"/>
    <xf numFmtId="0" fontId="0" fillId="0" borderId="14" xfId="0" applyBorder="1"/>
    <xf numFmtId="0" fontId="0" fillId="7" borderId="6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1" fillId="0" borderId="6" xfId="0" applyFont="1" applyBorder="1"/>
    <xf numFmtId="0" fontId="1" fillId="0" borderId="14" xfId="0" applyFont="1" applyBorder="1"/>
    <xf numFmtId="0" fontId="0" fillId="7" borderId="14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/>
    <xf numFmtId="0" fontId="0" fillId="0" borderId="24" xfId="0" applyBorder="1"/>
    <xf numFmtId="0" fontId="1" fillId="0" borderId="24" xfId="0" applyFont="1" applyBorder="1"/>
    <xf numFmtId="0" fontId="1" fillId="0" borderId="5" xfId="0" applyFont="1" applyBorder="1"/>
    <xf numFmtId="0" fontId="0" fillId="0" borderId="25" xfId="0" applyBorder="1"/>
    <xf numFmtId="0" fontId="1" fillId="0" borderId="8" xfId="0" applyFont="1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14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9" borderId="1" xfId="0" applyFill="1" applyBorder="1"/>
    <xf numFmtId="0" fontId="0" fillId="9" borderId="3" xfId="0" applyFill="1" applyBorder="1"/>
    <xf numFmtId="0" fontId="0" fillId="9" borderId="2" xfId="0" applyFill="1" applyBorder="1"/>
    <xf numFmtId="0" fontId="0" fillId="9" borderId="13" xfId="0" applyFill="1" applyBorder="1"/>
    <xf numFmtId="0" fontId="0" fillId="9" borderId="6" xfId="0" applyFill="1" applyBorder="1"/>
    <xf numFmtId="0" fontId="0" fillId="9" borderId="14" xfId="0" applyFill="1" applyBorder="1"/>
    <xf numFmtId="0" fontId="0" fillId="9" borderId="6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0" borderId="6" xfId="0" applyFill="1" applyBorder="1"/>
    <xf numFmtId="0" fontId="0" fillId="0" borderId="14" xfId="0" applyFill="1" applyBorder="1"/>
    <xf numFmtId="0" fontId="1" fillId="0" borderId="6" xfId="0" applyFont="1" applyFill="1" applyBorder="1"/>
    <xf numFmtId="0" fontId="1" fillId="0" borderId="14" xfId="0" applyFont="1" applyFill="1" applyBorder="1"/>
    <xf numFmtId="0" fontId="0" fillId="0" borderId="15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26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7" xfId="0" applyFont="1" applyFill="1" applyBorder="1"/>
    <xf numFmtId="0" fontId="2" fillId="5" borderId="26" xfId="0" applyFont="1" applyFill="1" applyBorder="1"/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0" fillId="0" borderId="27" xfId="0" applyFont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/>
    </xf>
    <xf numFmtId="0" fontId="0" fillId="10" borderId="0" xfId="0" applyFill="1"/>
    <xf numFmtId="0" fontId="1" fillId="0" borderId="0" xfId="0" applyFont="1" applyBorder="1"/>
    <xf numFmtId="0" fontId="1" fillId="0" borderId="29" xfId="0" applyFont="1" applyBorder="1"/>
    <xf numFmtId="0" fontId="0" fillId="0" borderId="7" xfId="0" applyBorder="1"/>
    <xf numFmtId="0" fontId="0" fillId="0" borderId="27" xfId="0" applyBorder="1"/>
    <xf numFmtId="0" fontId="0" fillId="0" borderId="0" xfId="0" applyBorder="1" applyAlignment="1"/>
    <xf numFmtId="0" fontId="2" fillId="11" borderId="35" xfId="0" applyFont="1" applyFill="1" applyBorder="1"/>
    <xf numFmtId="0" fontId="0" fillId="0" borderId="0" xfId="0" applyFill="1"/>
    <xf numFmtId="0" fontId="0" fillId="4" borderId="15" xfId="0" applyFill="1" applyBorder="1"/>
    <xf numFmtId="0" fontId="2" fillId="11" borderId="5" xfId="0" applyFont="1" applyFill="1" applyBorder="1"/>
    <xf numFmtId="0" fontId="0" fillId="11" borderId="38" xfId="0" applyFill="1" applyBorder="1"/>
    <xf numFmtId="0" fontId="1" fillId="11" borderId="7" xfId="0" applyFont="1" applyFill="1" applyBorder="1" applyAlignment="1">
      <alignment horizontal="center"/>
    </xf>
    <xf numFmtId="0" fontId="7" fillId="0" borderId="0" xfId="0" applyFont="1"/>
    <xf numFmtId="0" fontId="6" fillId="0" borderId="0" xfId="0" applyFont="1" applyAlignment="1">
      <alignment horizontal="center"/>
    </xf>
    <xf numFmtId="0" fontId="7" fillId="13" borderId="43" xfId="0" applyFont="1" applyFill="1" applyBorder="1" applyAlignment="1">
      <alignment horizontal="left"/>
    </xf>
    <xf numFmtId="0" fontId="7" fillId="14" borderId="43" xfId="0" applyFont="1" applyFill="1" applyBorder="1"/>
    <xf numFmtId="0" fontId="7" fillId="14" borderId="43" xfId="0" applyFont="1" applyFill="1" applyBorder="1" applyAlignment="1">
      <alignment horizontal="center"/>
    </xf>
    <xf numFmtId="0" fontId="7" fillId="15" borderId="43" xfId="0" applyFont="1" applyFill="1" applyBorder="1"/>
    <xf numFmtId="0" fontId="7" fillId="0" borderId="0" xfId="0" applyFont="1" applyAlignment="1">
      <alignment horizontal="right"/>
    </xf>
    <xf numFmtId="0" fontId="7" fillId="0" borderId="45" xfId="0" applyFont="1" applyBorder="1" applyAlignment="1">
      <alignment horizontal="right"/>
    </xf>
    <xf numFmtId="0" fontId="7" fillId="0" borderId="43" xfId="0" applyFont="1" applyBorder="1"/>
    <xf numFmtId="0" fontId="7" fillId="0" borderId="43" xfId="0" applyFont="1" applyBorder="1" applyAlignment="1">
      <alignment horizontal="center"/>
    </xf>
    <xf numFmtId="0" fontId="7" fillId="0" borderId="46" xfId="0" applyFont="1" applyBorder="1" applyAlignment="1">
      <alignment horizontal="right"/>
    </xf>
    <xf numFmtId="0" fontId="7" fillId="0" borderId="47" xfId="0" applyFont="1" applyBorder="1" applyAlignment="1">
      <alignment horizontal="right"/>
    </xf>
    <xf numFmtId="0" fontId="7" fillId="0" borderId="0" xfId="0" applyFont="1" applyAlignment="1">
      <alignment horizontal="left"/>
    </xf>
    <xf numFmtId="0" fontId="7" fillId="16" borderId="43" xfId="0" applyFont="1" applyFill="1" applyBorder="1"/>
    <xf numFmtId="0" fontId="7" fillId="0" borderId="42" xfId="0" applyFont="1" applyBorder="1"/>
    <xf numFmtId="0" fontId="8" fillId="17" borderId="43" xfId="0" applyFont="1" applyFill="1" applyBorder="1" applyAlignment="1">
      <alignment horizontal="center" vertical="center"/>
    </xf>
    <xf numFmtId="0" fontId="8" fillId="17" borderId="48" xfId="0" applyFont="1" applyFill="1" applyBorder="1" applyAlignment="1">
      <alignment horizontal="center" vertical="center"/>
    </xf>
    <xf numFmtId="0" fontId="7" fillId="0" borderId="51" xfId="0" applyFont="1" applyBorder="1"/>
    <xf numFmtId="0" fontId="8" fillId="17" borderId="49" xfId="0" applyFont="1" applyFill="1" applyBorder="1" applyAlignment="1">
      <alignment horizontal="center" vertical="center"/>
    </xf>
    <xf numFmtId="0" fontId="7" fillId="14" borderId="57" xfId="0" applyFont="1" applyFill="1" applyBorder="1" applyAlignment="1">
      <alignment horizontal="center"/>
    </xf>
    <xf numFmtId="0" fontId="7" fillId="0" borderId="58" xfId="0" applyFont="1" applyBorder="1" applyAlignment="1">
      <alignment horizontal="right"/>
    </xf>
    <xf numFmtId="0" fontId="7" fillId="0" borderId="59" xfId="0" applyFont="1" applyBorder="1" applyAlignment="1">
      <alignment horizontal="righ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12" fillId="13" borderId="43" xfId="0" applyFont="1" applyFill="1" applyBorder="1" applyAlignment="1">
      <alignment horizontal="left"/>
    </xf>
    <xf numFmtId="0" fontId="12" fillId="14" borderId="43" xfId="0" applyFont="1" applyFill="1" applyBorder="1"/>
    <xf numFmtId="0" fontId="12" fillId="0" borderId="0" xfId="0" applyFont="1"/>
    <xf numFmtId="0" fontId="12" fillId="14" borderId="43" xfId="0" applyFont="1" applyFill="1" applyBorder="1" applyAlignment="1">
      <alignment horizontal="center"/>
    </xf>
    <xf numFmtId="0" fontId="12" fillId="15" borderId="43" xfId="0" applyFont="1" applyFill="1" applyBorder="1"/>
    <xf numFmtId="0" fontId="12" fillId="0" borderId="0" xfId="0" applyFont="1" applyAlignment="1">
      <alignment horizontal="right"/>
    </xf>
    <xf numFmtId="0" fontId="12" fillId="0" borderId="45" xfId="0" applyFont="1" applyBorder="1" applyAlignment="1">
      <alignment horizontal="right"/>
    </xf>
    <xf numFmtId="0" fontId="12" fillId="0" borderId="43" xfId="0" applyFont="1" applyBorder="1"/>
    <xf numFmtId="0" fontId="13" fillId="18" borderId="43" xfId="0" applyFont="1" applyFill="1" applyBorder="1" applyAlignment="1">
      <alignment horizontal="center"/>
    </xf>
    <xf numFmtId="0" fontId="12" fillId="0" borderId="46" xfId="0" applyFont="1" applyBorder="1" applyAlignment="1">
      <alignment horizontal="right"/>
    </xf>
    <xf numFmtId="0" fontId="12" fillId="0" borderId="47" xfId="0" applyFont="1" applyBorder="1" applyAlignment="1">
      <alignment horizontal="right"/>
    </xf>
    <xf numFmtId="0" fontId="12" fillId="0" borderId="0" xfId="0" applyFont="1" applyAlignment="1">
      <alignment horizontal="left"/>
    </xf>
    <xf numFmtId="0" fontId="12" fillId="16" borderId="43" xfId="0" applyFont="1" applyFill="1" applyBorder="1"/>
    <xf numFmtId="0" fontId="12" fillId="0" borderId="42" xfId="0" applyFont="1" applyBorder="1"/>
    <xf numFmtId="0" fontId="14" fillId="17" borderId="43" xfId="0" applyFont="1" applyFill="1" applyBorder="1" applyAlignment="1">
      <alignment horizontal="center" vertical="center"/>
    </xf>
    <xf numFmtId="0" fontId="14" fillId="17" borderId="48" xfId="0" applyFont="1" applyFill="1" applyBorder="1" applyAlignment="1">
      <alignment horizontal="center" vertical="center"/>
    </xf>
    <xf numFmtId="0" fontId="12" fillId="0" borderId="51" xfId="0" applyFont="1" applyBorder="1"/>
    <xf numFmtId="0" fontId="14" fillId="17" borderId="49" xfId="0" applyFont="1" applyFill="1" applyBorder="1" applyAlignment="1">
      <alignment horizontal="center" vertical="center"/>
    </xf>
    <xf numFmtId="0" fontId="12" fillId="14" borderId="57" xfId="0" applyFont="1" applyFill="1" applyBorder="1" applyAlignment="1">
      <alignment horizontal="center"/>
    </xf>
    <xf numFmtId="0" fontId="12" fillId="0" borderId="58" xfId="0" applyFont="1" applyBorder="1" applyAlignment="1">
      <alignment horizontal="right"/>
    </xf>
    <xf numFmtId="0" fontId="12" fillId="0" borderId="59" xfId="0" applyFont="1" applyBorder="1" applyAlignment="1">
      <alignment horizontal="right"/>
    </xf>
    <xf numFmtId="0" fontId="1" fillId="0" borderId="15" xfId="0" applyFont="1" applyBorder="1"/>
    <xf numFmtId="0" fontId="0" fillId="19" borderId="0" xfId="0" applyFill="1"/>
    <xf numFmtId="0" fontId="0" fillId="0" borderId="8" xfId="0" applyBorder="1"/>
    <xf numFmtId="0" fontId="0" fillId="0" borderId="23" xfId="0" applyBorder="1"/>
    <xf numFmtId="0" fontId="0" fillId="21" borderId="24" xfId="0" applyFill="1" applyBorder="1"/>
    <xf numFmtId="0" fontId="0" fillId="2" borderId="0" xfId="0" applyFill="1"/>
    <xf numFmtId="0" fontId="0" fillId="0" borderId="24" xfId="0" applyFill="1" applyBorder="1"/>
    <xf numFmtId="0" fontId="3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11" borderId="1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0" fillId="4" borderId="15" xfId="0" applyFill="1" applyBorder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1" borderId="34" xfId="0" applyFont="1" applyFill="1" applyBorder="1" applyAlignment="1">
      <alignment horizontal="center"/>
    </xf>
    <xf numFmtId="0" fontId="2" fillId="11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5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1" fillId="5" borderId="30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6" fillId="14" borderId="53" xfId="0" applyFont="1" applyFill="1" applyBorder="1" applyAlignment="1">
      <alignment horizontal="center" vertical="center"/>
    </xf>
    <xf numFmtId="0" fontId="9" fillId="0" borderId="44" xfId="0" applyFont="1" applyBorder="1"/>
    <xf numFmtId="0" fontId="6" fillId="15" borderId="54" xfId="0" applyFont="1" applyFill="1" applyBorder="1" applyAlignment="1">
      <alignment horizontal="center" vertical="center"/>
    </xf>
    <xf numFmtId="0" fontId="9" fillId="0" borderId="56" xfId="0" applyFont="1" applyBorder="1"/>
    <xf numFmtId="0" fontId="7" fillId="13" borderId="25" xfId="0" applyFont="1" applyFill="1" applyBorder="1" applyAlignment="1">
      <alignment horizontal="center"/>
    </xf>
    <xf numFmtId="0" fontId="0" fillId="0" borderId="8" xfId="0" applyBorder="1"/>
    <xf numFmtId="0" fontId="6" fillId="15" borderId="48" xfId="0" applyFont="1" applyFill="1" applyBorder="1"/>
    <xf numFmtId="0" fontId="9" fillId="0" borderId="49" xfId="0" applyFont="1" applyBorder="1"/>
    <xf numFmtId="0" fontId="7" fillId="0" borderId="48" xfId="0" applyFont="1" applyBorder="1" applyAlignment="1">
      <alignment horizontal="center"/>
    </xf>
    <xf numFmtId="0" fontId="9" fillId="0" borderId="50" xfId="0" applyFont="1" applyBorder="1"/>
    <xf numFmtId="0" fontId="6" fillId="12" borderId="39" xfId="0" applyFont="1" applyFill="1" applyBorder="1" applyAlignment="1">
      <alignment horizontal="center"/>
    </xf>
    <xf numFmtId="0" fontId="9" fillId="0" borderId="40" xfId="0" applyFont="1" applyBorder="1"/>
    <xf numFmtId="0" fontId="9" fillId="0" borderId="41" xfId="0" applyFont="1" applyBorder="1"/>
    <xf numFmtId="0" fontId="6" fillId="12" borderId="42" xfId="0" applyFont="1" applyFill="1" applyBorder="1" applyAlignment="1">
      <alignment horizontal="center" vertical="center"/>
    </xf>
    <xf numFmtId="0" fontId="6" fillId="13" borderId="52" xfId="0" applyFont="1" applyFill="1" applyBorder="1" applyAlignment="1">
      <alignment horizontal="center" vertical="center"/>
    </xf>
    <xf numFmtId="0" fontId="9" fillId="0" borderId="55" xfId="0" applyFont="1" applyBorder="1"/>
    <xf numFmtId="0" fontId="10" fillId="15" borderId="48" xfId="0" applyFont="1" applyFill="1" applyBorder="1"/>
    <xf numFmtId="0" fontId="11" fillId="0" borderId="49" xfId="0" applyFont="1" applyBorder="1"/>
    <xf numFmtId="0" fontId="12" fillId="0" borderId="48" xfId="0" applyFont="1" applyBorder="1" applyAlignment="1">
      <alignment horizontal="center"/>
    </xf>
    <xf numFmtId="0" fontId="11" fillId="0" borderId="50" xfId="0" applyFont="1" applyBorder="1"/>
    <xf numFmtId="0" fontId="10" fillId="13" borderId="52" xfId="0" applyFont="1" applyFill="1" applyBorder="1" applyAlignment="1">
      <alignment horizontal="center" vertical="center"/>
    </xf>
    <xf numFmtId="0" fontId="11" fillId="0" borderId="55" xfId="0" applyFont="1" applyBorder="1"/>
    <xf numFmtId="0" fontId="10" fillId="12" borderId="39" xfId="0" applyFont="1" applyFill="1" applyBorder="1" applyAlignment="1">
      <alignment horizontal="center"/>
    </xf>
    <xf numFmtId="0" fontId="11" fillId="0" borderId="40" xfId="0" applyFont="1" applyBorder="1"/>
    <xf numFmtId="0" fontId="11" fillId="0" borderId="41" xfId="0" applyFont="1" applyBorder="1"/>
    <xf numFmtId="0" fontId="10" fillId="12" borderId="42" xfId="0" applyFont="1" applyFill="1" applyBorder="1" applyAlignment="1">
      <alignment horizontal="center" vertical="center"/>
    </xf>
    <xf numFmtId="0" fontId="11" fillId="0" borderId="44" xfId="0" applyFont="1" applyBorder="1"/>
    <xf numFmtId="0" fontId="10" fillId="14" borderId="53" xfId="0" applyFont="1" applyFill="1" applyBorder="1" applyAlignment="1">
      <alignment horizontal="center" vertical="center"/>
    </xf>
    <xf numFmtId="0" fontId="10" fillId="15" borderId="54" xfId="0" applyFont="1" applyFill="1" applyBorder="1" applyAlignment="1">
      <alignment horizontal="center" vertical="center"/>
    </xf>
    <xf numFmtId="0" fontId="11" fillId="0" borderId="56" xfId="0" applyFont="1" applyBorder="1"/>
    <xf numFmtId="0" fontId="12" fillId="13" borderId="25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0" borderId="21" xfId="0" applyFill="1" applyBorder="1" applyAlignment="1">
      <alignment horizontal="center"/>
    </xf>
    <xf numFmtId="0" fontId="0" fillId="20" borderId="22" xfId="0" applyFill="1" applyBorder="1" applyAlignment="1">
      <alignment horizontal="center"/>
    </xf>
  </cellXfs>
  <cellStyles count="1">
    <cellStyle name="Normal" xfId="0" builtinId="0"/>
  </cellStyles>
  <dxfs count="69"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ayas\AppData\Roaming\Microsoft\AddIns\PSYCH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se"/>
      <sheetName val="Psychrometrics"/>
      <sheetName val="PSYCH"/>
    </sheetNames>
    <definedNames>
      <definedName name="humidratio"/>
    </definedNames>
    <sheetDataSet>
      <sheetData sheetId="0"/>
      <sheetData sheetId="1" refreshError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ED96DB-99F1-42CD-86D4-EE71F9A9CF25}" name="Wall_Alternatives" displayName="Wall_Alternatives" ref="A1:G6" totalsRowShown="0" headerRowDxfId="68" dataDxfId="67">
  <autoFilter ref="A1:G6" xr:uid="{50ED96DB-99F1-42CD-86D4-EE71F9A9CF25}"/>
  <tableColumns count="7">
    <tableColumn id="1" xr3:uid="{AD780256-5B82-4B92-85A3-B86001CEFE41}" name="Wall Name" dataDxfId="66"/>
    <tableColumn id="2" xr3:uid="{80A3B262-992B-445C-B675-4EDBF736CA12}" name="U Value (Btu/hr.ft2.F)" dataDxfId="65"/>
    <tableColumn id="3" xr3:uid="{0777C1D9-F568-4A34-BA33-5DE1E16CA062}" name="Group" dataDxfId="64"/>
    <tableColumn id="4" xr3:uid="{71314989-3D45-4E8A-984E-F92C317C554E}" name="Thickness (m)" dataDxfId="63"/>
    <tableColumn id="5" xr3:uid="{24C29129-8819-4B60-B27B-7426F4AED033}" name="Embodied Energy (MJ/m²)" dataDxfId="62"/>
    <tableColumn id="6" xr3:uid="{31A8D8FC-19D4-4B19-BF0B-64F20C139FB4}" name="Embodied Carbon (kg/m²)" dataDxfId="61"/>
    <tableColumn id="7" xr3:uid="{249F77A5-1F79-494A-8E56-AD8BF3A5AD9F}" name="Rate per sq.m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7F4F70-7C10-4421-AA58-68A6A47268B8}" name="Window_Alternatives" displayName="Window_Alternatives" ref="J1:O4" totalsRowShown="0" headerRowDxfId="59" dataDxfId="58">
  <autoFilter ref="J1:O4" xr:uid="{2C7F4F70-7C10-4421-AA58-68A6A47268B8}"/>
  <tableColumns count="6">
    <tableColumn id="1" xr3:uid="{F83A1887-CC16-4554-8C5B-D12B49066BBA}" name="Window Name" dataDxfId="57"/>
    <tableColumn id="2" xr3:uid="{74847D39-5331-44E4-A17E-C46472F4B9EE}" name="Shading Coefficient" dataDxfId="56"/>
    <tableColumn id="3" xr3:uid="{2497E3DC-B117-48C5-9EC9-17EB7C8F07C2}" name="U Value (W/m²K)" dataDxfId="55"/>
    <tableColumn id="4" xr3:uid="{85F49B4D-80D1-472A-8E26-B1A9895A4E4E}" name="Embodied Energy (MJ/m²)" dataDxfId="54"/>
    <tableColumn id="5" xr3:uid="{D1209D4F-9BBF-4927-9B04-78324845F6D1}" name="Embodied Carbon (kg/m²)" dataDxfId="53"/>
    <tableColumn id="6" xr3:uid="{F1CDDBA2-D7A0-456A-9B68-075C6A7451EE}" name="Rate per sq.m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17E22C-99D8-4B19-ABF0-E237628135AB}" name="Door_Alternatives" displayName="Door_Alternatives" ref="R1:V3" totalsRowShown="0" headerRowDxfId="51" dataDxfId="50">
  <autoFilter ref="R1:V3" xr:uid="{1A17E22C-99D8-4B19-ABF0-E237628135AB}"/>
  <tableColumns count="5">
    <tableColumn id="1" xr3:uid="{8ECA37D9-53C2-480B-B429-2EF2A6B75F23}" name="Door Name" dataDxfId="49"/>
    <tableColumn id="2" xr3:uid="{7DB4BEEF-B90D-478D-A3F7-F429D74FE9C4}" name="U Value (W/m²K)" dataDxfId="48"/>
    <tableColumn id="3" xr3:uid="{D08639D6-7B2B-47BA-B693-9C974A2F0614}" name="Embodied Energy (MJ/m²)" dataDxfId="47"/>
    <tableColumn id="4" xr3:uid="{FA5E2E77-4FF3-4CCF-A4A5-684FA4F90C96}" name="Embodied Carbon (kg/m²)" dataDxfId="46"/>
    <tableColumn id="5" xr3:uid="{F3285D20-9719-4101-808B-81D20248102E}" name="Rate per sq.m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C28792-C062-4C79-B719-5CBD9BABAC4B}" name="Floor_Alternatives" displayName="Floor_Alternatives" ref="Y1:AC3" totalsRowShown="0" headerRowDxfId="44" dataDxfId="43">
  <autoFilter ref="Y1:AC3" xr:uid="{E9C28792-C062-4C79-B719-5CBD9BABAC4B}"/>
  <tableColumns count="5">
    <tableColumn id="1" xr3:uid="{E857D718-22B2-4150-B52B-EB3C1A4EFBE5}" name="Floor Name" dataDxfId="42"/>
    <tableColumn id="2" xr3:uid="{76F78B10-E33D-447D-9F45-596D82C0B7CC}" name="U Value (W/m²K)" dataDxfId="41"/>
    <tableColumn id="3" xr3:uid="{22DFD906-E2F1-4777-9217-685E00F62EDD}" name="Embodied Energy (MJ/m²)" dataDxfId="40"/>
    <tableColumn id="4" xr3:uid="{5CC11739-9F21-4A03-B4E9-882455B828FA}" name="Embodied Carbon (kg/m²)" dataDxfId="39"/>
    <tableColumn id="5" xr3:uid="{E99D7D17-B86F-4C0D-A2D8-5C83FD9552DD}" name="Rate per sq.m" dataDxfId="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D357D87-2685-4E55-877A-C4DB733389B1}" name="Roof_Alternatives" displayName="Roof_Alternatives" ref="AF1:BA4" totalsRowShown="0" headerRowDxfId="37" dataDxfId="36">
  <autoFilter ref="AF1:BA4" xr:uid="{AD357D87-2685-4E55-877A-C4DB733389B1}"/>
  <tableColumns count="22">
    <tableColumn id="1" xr3:uid="{73CFB9E6-4CC2-42AB-A565-D56AFFB7FCBD}" name="Roof Name" dataDxfId="35"/>
    <tableColumn id="2" xr3:uid="{EC274524-6246-4F5E-A893-ABC724DD7CEF}" name="U Value (Btu/hr.ft2.F)" dataDxfId="34"/>
    <tableColumn id="3" xr3:uid="{23CCB4E8-01FC-44AC-AC45-93470D52F4DB}" name="Embodied Energy (MJ/m²)" dataDxfId="33"/>
    <tableColumn id="4" xr3:uid="{FCA185B0-43C0-406E-A848-595FBA66CCF6}" name="Embodied Carbon (kg/m²)" dataDxfId="32"/>
    <tableColumn id="5" xr3:uid="{EA4149B3-2F46-40F3-B44B-16D85BD6ACE1}" name="Rate per sq.m" dataDxfId="31"/>
    <tableColumn id="6" xr3:uid="{3DC8C5FA-3F26-46B7-A4F6-1A5E1D0BAF14}" name="6" dataDxfId="30"/>
    <tableColumn id="7" xr3:uid="{6523E14F-BE92-4AC6-A093-7CF13E166A46}" name="7" dataDxfId="29"/>
    <tableColumn id="8" xr3:uid="{71DE67B4-DE3A-48DC-89F6-67D0DB2D3B61}" name="8" dataDxfId="28"/>
    <tableColumn id="9" xr3:uid="{CC372C71-DD57-4F8A-AB09-CA14FC8078FD}" name="9" dataDxfId="27"/>
    <tableColumn id="10" xr3:uid="{BDAE2E6A-663D-49E5-AA8D-113D7C79E1B4}" name="10" dataDxfId="26"/>
    <tableColumn id="11" xr3:uid="{79115174-3C12-494A-A022-4088523871EC}" name="11" dataDxfId="25"/>
    <tableColumn id="12" xr3:uid="{7AE0EFA1-715E-4AB7-B6AE-61CD1F637770}" name="12" dataDxfId="24"/>
    <tableColumn id="13" xr3:uid="{6AE213F2-19D0-4277-8DC3-9E9FED8D1E58}" name="13" dataDxfId="23"/>
    <tableColumn id="14" xr3:uid="{75E00F48-9B5A-4339-A6F0-9116709D5011}" name="14" dataDxfId="22"/>
    <tableColumn id="15" xr3:uid="{0086CF90-AAD3-4961-A5B3-69C39D2F7EC7}" name="15" dataDxfId="21"/>
    <tableColumn id="16" xr3:uid="{924D4251-E931-48FA-8FAC-1E4439CC1A4A}" name="16" dataDxfId="20"/>
    <tableColumn id="17" xr3:uid="{A2AB3A30-58D8-4233-AD79-F3FDF8332DFA}" name="17" dataDxfId="19"/>
    <tableColumn id="18" xr3:uid="{2252D276-F4C8-40E7-94F5-59B7CBAEBCF4}" name="18" dataDxfId="18"/>
    <tableColumn id="19" xr3:uid="{2E265E20-43D5-4B37-92E5-E0A1BB3B14EF}" name="19" dataDxfId="17"/>
    <tableColumn id="20" xr3:uid="{0352ACDD-7664-404F-9BCE-47AA6434656C}" name="20" dataDxfId="16"/>
    <tableColumn id="21" xr3:uid="{C7D80C88-429F-4733-9DEE-70ED4E4A1404}" name="21" dataDxfId="15"/>
    <tableColumn id="22" xr3:uid="{2EF337F2-FFF5-4667-A4BA-7C7FF2A1055C}" name="22" dataDxfId="1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C71441-4E0F-40FE-8518-9AE0B49041C3}" name="System_Alternatives" displayName="System_Alternatives" ref="BD1:BF4" totalsRowShown="0" headerRowDxfId="13" dataDxfId="12">
  <autoFilter ref="BD1:BF4" xr:uid="{2BC71441-4E0F-40FE-8518-9AE0B49041C3}"/>
  <tableColumns count="3">
    <tableColumn id="1" xr3:uid="{4A63BA5F-05EC-47E6-93FA-76A4C6136368}" name="AC System Name" dataDxfId="11"/>
    <tableColumn id="2" xr3:uid="{4A07A6D5-AFCF-400B-B482-239A8E784B7F}" name="Capacity (kW)" dataDxfId="10"/>
    <tableColumn id="3" xr3:uid="{A5BB0BE8-53A5-4396-ABDF-30FC3DA7A249}" name="Cost (Rs.)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AC7A9-8811-43D2-BD9E-6FDD504E310F}">
  <dimension ref="A1:C5"/>
  <sheetViews>
    <sheetView tabSelected="1" workbookViewId="0"/>
  </sheetViews>
  <sheetFormatPr defaultRowHeight="14.4" x14ac:dyDescent="0.3"/>
  <sheetData>
    <row r="1" spans="1:3" x14ac:dyDescent="0.3">
      <c r="A1" t="s">
        <v>268</v>
      </c>
      <c r="B1" t="s">
        <v>269</v>
      </c>
      <c r="C1" t="s">
        <v>270</v>
      </c>
    </row>
    <row r="3" spans="1:3" x14ac:dyDescent="0.3">
      <c r="A3">
        <v>1</v>
      </c>
      <c r="B3">
        <v>1.52</v>
      </c>
      <c r="C3">
        <v>2.13</v>
      </c>
    </row>
    <row r="4" spans="1:3" x14ac:dyDescent="0.3">
      <c r="A4">
        <v>1</v>
      </c>
      <c r="B4">
        <v>0.86</v>
      </c>
      <c r="C4">
        <v>2.0299999999999998</v>
      </c>
    </row>
    <row r="5" spans="1:3" x14ac:dyDescent="0.3">
      <c r="A5">
        <v>1</v>
      </c>
      <c r="B5">
        <v>0.91</v>
      </c>
      <c r="C5">
        <v>2.13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1C6CE-02CE-4501-AE50-2B6033EC94AD}">
  <dimension ref="A1:B6"/>
  <sheetViews>
    <sheetView workbookViewId="0"/>
  </sheetViews>
  <sheetFormatPr defaultRowHeight="14.4" x14ac:dyDescent="0.3"/>
  <sheetData>
    <row r="1" spans="1:2" x14ac:dyDescent="0.3">
      <c r="A1" t="s">
        <v>272</v>
      </c>
      <c r="B1" t="s">
        <v>273</v>
      </c>
    </row>
    <row r="3" spans="1:2" x14ac:dyDescent="0.3">
      <c r="A3" t="s">
        <v>274</v>
      </c>
      <c r="B3">
        <v>0</v>
      </c>
    </row>
    <row r="4" spans="1:2" x14ac:dyDescent="0.3">
      <c r="A4" t="s">
        <v>275</v>
      </c>
      <c r="B4">
        <v>3.6</v>
      </c>
    </row>
    <row r="5" spans="1:2" x14ac:dyDescent="0.3">
      <c r="A5" t="s">
        <v>276</v>
      </c>
      <c r="B5">
        <v>7.2</v>
      </c>
    </row>
    <row r="6" spans="1:2" x14ac:dyDescent="0.3">
      <c r="A6" t="s">
        <v>277</v>
      </c>
      <c r="B6">
        <v>10.8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61073-6851-40F3-BFC3-EBD5D1C37798}">
  <dimension ref="A1:B7"/>
  <sheetViews>
    <sheetView workbookViewId="0"/>
  </sheetViews>
  <sheetFormatPr defaultRowHeight="14.4" x14ac:dyDescent="0.3"/>
  <sheetData>
    <row r="1" spans="1:2" x14ac:dyDescent="0.3">
      <c r="A1" t="s">
        <v>268</v>
      </c>
      <c r="B1" t="s">
        <v>271</v>
      </c>
    </row>
    <row r="3" spans="1:2" x14ac:dyDescent="0.3">
      <c r="A3">
        <v>1</v>
      </c>
      <c r="B3">
        <v>133.43</v>
      </c>
    </row>
    <row r="4" spans="1:2" x14ac:dyDescent="0.3">
      <c r="A4">
        <v>1</v>
      </c>
      <c r="B4">
        <v>127.84</v>
      </c>
    </row>
    <row r="5" spans="1:2" x14ac:dyDescent="0.3">
      <c r="A5">
        <v>1</v>
      </c>
      <c r="B5">
        <v>102.8</v>
      </c>
    </row>
    <row r="6" spans="1:2" x14ac:dyDescent="0.3">
      <c r="A6">
        <v>1</v>
      </c>
      <c r="B6">
        <v>3.07</v>
      </c>
    </row>
    <row r="7" spans="1:2" x14ac:dyDescent="0.3">
      <c r="A7">
        <v>1</v>
      </c>
      <c r="B7">
        <v>79.739999999999995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E7DA5-3AF9-4940-90E9-69554EF79788}">
  <dimension ref="A1:E30"/>
  <sheetViews>
    <sheetView workbookViewId="0"/>
  </sheetViews>
  <sheetFormatPr defaultRowHeight="14.4" x14ac:dyDescent="0.3"/>
  <sheetData>
    <row r="1" spans="1:5" x14ac:dyDescent="0.3">
      <c r="A1" t="s">
        <v>268</v>
      </c>
      <c r="B1" t="s">
        <v>271</v>
      </c>
    </row>
    <row r="3" spans="1:5" x14ac:dyDescent="0.3">
      <c r="A3">
        <v>1</v>
      </c>
      <c r="B3">
        <v>13.03</v>
      </c>
      <c r="C3" t="s">
        <v>278</v>
      </c>
      <c r="E3">
        <v>25.000000000000298</v>
      </c>
    </row>
    <row r="4" spans="1:5" x14ac:dyDescent="0.3">
      <c r="A4">
        <v>1</v>
      </c>
      <c r="B4">
        <v>10.33</v>
      </c>
      <c r="C4" t="s">
        <v>279</v>
      </c>
    </row>
    <row r="5" spans="1:5" x14ac:dyDescent="0.3">
      <c r="A5">
        <v>1</v>
      </c>
      <c r="B5">
        <v>30.08</v>
      </c>
      <c r="C5" t="s">
        <v>279</v>
      </c>
    </row>
    <row r="6" spans="1:5" x14ac:dyDescent="0.3">
      <c r="A6">
        <v>1</v>
      </c>
      <c r="B6">
        <v>16.18</v>
      </c>
      <c r="C6" t="s">
        <v>278</v>
      </c>
    </row>
    <row r="7" spans="1:5" x14ac:dyDescent="0.3">
      <c r="A7">
        <v>1</v>
      </c>
      <c r="B7">
        <v>7.83</v>
      </c>
      <c r="C7" t="s">
        <v>280</v>
      </c>
    </row>
    <row r="8" spans="1:5" x14ac:dyDescent="0.3">
      <c r="A8">
        <v>1</v>
      </c>
      <c r="B8">
        <v>9.19</v>
      </c>
      <c r="C8" t="s">
        <v>278</v>
      </c>
    </row>
    <row r="9" spans="1:5" x14ac:dyDescent="0.3">
      <c r="A9">
        <v>1</v>
      </c>
      <c r="B9">
        <v>9.9700000000000006</v>
      </c>
      <c r="C9" t="s">
        <v>280</v>
      </c>
    </row>
    <row r="10" spans="1:5" x14ac:dyDescent="0.3">
      <c r="A10">
        <v>1</v>
      </c>
      <c r="B10">
        <v>12.98</v>
      </c>
      <c r="C10" t="s">
        <v>278</v>
      </c>
    </row>
    <row r="11" spans="1:5" x14ac:dyDescent="0.3">
      <c r="A11">
        <v>1</v>
      </c>
      <c r="B11">
        <v>13.47</v>
      </c>
      <c r="C11" t="s">
        <v>279</v>
      </c>
    </row>
    <row r="12" spans="1:5" x14ac:dyDescent="0.3">
      <c r="A12">
        <v>1</v>
      </c>
      <c r="B12">
        <v>3.52</v>
      </c>
      <c r="C12" t="s">
        <v>278</v>
      </c>
    </row>
    <row r="13" spans="1:5" x14ac:dyDescent="0.3">
      <c r="A13">
        <v>1</v>
      </c>
      <c r="B13">
        <v>16.649999999999999</v>
      </c>
      <c r="C13" t="s">
        <v>278</v>
      </c>
    </row>
    <row r="14" spans="1:5" x14ac:dyDescent="0.3">
      <c r="A14">
        <v>1</v>
      </c>
      <c r="B14">
        <v>30.08</v>
      </c>
      <c r="C14" t="s">
        <v>280</v>
      </c>
    </row>
    <row r="15" spans="1:5" x14ac:dyDescent="0.3">
      <c r="A15">
        <v>1</v>
      </c>
      <c r="B15">
        <v>12.36</v>
      </c>
      <c r="C15" t="s">
        <v>278</v>
      </c>
    </row>
    <row r="16" spans="1:5" x14ac:dyDescent="0.3">
      <c r="A16">
        <v>1</v>
      </c>
      <c r="B16">
        <v>12.1</v>
      </c>
      <c r="C16" t="s">
        <v>279</v>
      </c>
    </row>
    <row r="17" spans="1:3" x14ac:dyDescent="0.3">
      <c r="A17">
        <v>1</v>
      </c>
      <c r="B17">
        <v>13.06</v>
      </c>
      <c r="C17" t="s">
        <v>278</v>
      </c>
    </row>
    <row r="18" spans="1:3" x14ac:dyDescent="0.3">
      <c r="A18">
        <v>1</v>
      </c>
      <c r="B18">
        <v>11.36</v>
      </c>
      <c r="C18" t="s">
        <v>279</v>
      </c>
    </row>
    <row r="19" spans="1:3" x14ac:dyDescent="0.3">
      <c r="A19">
        <v>1</v>
      </c>
      <c r="B19">
        <v>12.93</v>
      </c>
      <c r="C19" t="s">
        <v>278</v>
      </c>
    </row>
    <row r="20" spans="1:3" x14ac:dyDescent="0.3">
      <c r="A20">
        <v>1</v>
      </c>
      <c r="B20">
        <v>11.27</v>
      </c>
      <c r="C20" t="s">
        <v>279</v>
      </c>
    </row>
    <row r="21" spans="1:3" x14ac:dyDescent="0.3">
      <c r="A21">
        <v>1</v>
      </c>
      <c r="B21">
        <v>8.9600000000000009</v>
      </c>
      <c r="C21" t="s">
        <v>281</v>
      </c>
    </row>
    <row r="22" spans="1:3" x14ac:dyDescent="0.3">
      <c r="A22">
        <v>1</v>
      </c>
      <c r="B22">
        <v>16.649999999999999</v>
      </c>
      <c r="C22" t="s">
        <v>278</v>
      </c>
    </row>
    <row r="23" spans="1:3" x14ac:dyDescent="0.3">
      <c r="A23">
        <v>1</v>
      </c>
      <c r="B23">
        <v>18.64</v>
      </c>
      <c r="C23" t="s">
        <v>280</v>
      </c>
    </row>
    <row r="24" spans="1:3" x14ac:dyDescent="0.3">
      <c r="A24">
        <v>1</v>
      </c>
      <c r="B24">
        <v>7.53</v>
      </c>
      <c r="C24" t="s">
        <v>279</v>
      </c>
    </row>
    <row r="25" spans="1:3" x14ac:dyDescent="0.3">
      <c r="A25">
        <v>1</v>
      </c>
      <c r="B25">
        <v>13.73</v>
      </c>
      <c r="C25" t="s">
        <v>278</v>
      </c>
    </row>
    <row r="26" spans="1:3" x14ac:dyDescent="0.3">
      <c r="A26">
        <v>1</v>
      </c>
      <c r="B26">
        <v>11.36</v>
      </c>
      <c r="C26" t="s">
        <v>279</v>
      </c>
    </row>
    <row r="27" spans="1:3" x14ac:dyDescent="0.3">
      <c r="A27">
        <v>1</v>
      </c>
      <c r="B27">
        <v>12.93</v>
      </c>
      <c r="C27" t="s">
        <v>278</v>
      </c>
    </row>
    <row r="28" spans="1:3" x14ac:dyDescent="0.3">
      <c r="A28">
        <v>1</v>
      </c>
      <c r="B28">
        <v>11.27</v>
      </c>
      <c r="C28" t="s">
        <v>279</v>
      </c>
    </row>
    <row r="29" spans="1:3" x14ac:dyDescent="0.3">
      <c r="A29">
        <v>1</v>
      </c>
      <c r="B29">
        <v>8.9600000000000009</v>
      </c>
      <c r="C29" t="s">
        <v>281</v>
      </c>
    </row>
    <row r="30" spans="1:3" x14ac:dyDescent="0.3">
      <c r="A30">
        <v>1</v>
      </c>
      <c r="B30">
        <v>5.62</v>
      </c>
      <c r="C30" t="s">
        <v>281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DEE96-DF0B-4871-A9F2-FAE3BBD8C438}">
  <dimension ref="A1:D36"/>
  <sheetViews>
    <sheetView workbookViewId="0"/>
  </sheetViews>
  <sheetFormatPr defaultRowHeight="14.4" x14ac:dyDescent="0.3"/>
  <sheetData>
    <row r="1" spans="1:4" x14ac:dyDescent="0.3">
      <c r="A1" t="s">
        <v>268</v>
      </c>
      <c r="B1" t="s">
        <v>269</v>
      </c>
      <c r="C1" t="s">
        <v>270</v>
      </c>
    </row>
    <row r="3" spans="1:4" x14ac:dyDescent="0.3">
      <c r="A3">
        <v>1</v>
      </c>
      <c r="B3">
        <v>1.83</v>
      </c>
      <c r="C3">
        <v>1.8</v>
      </c>
      <c r="D3" t="s">
        <v>280</v>
      </c>
    </row>
    <row r="4" spans="1:4" x14ac:dyDescent="0.3">
      <c r="A4">
        <v>1</v>
      </c>
      <c r="B4">
        <v>0.86</v>
      </c>
      <c r="C4">
        <v>0.91</v>
      </c>
      <c r="D4" t="s">
        <v>278</v>
      </c>
    </row>
    <row r="5" spans="1:4" x14ac:dyDescent="0.3">
      <c r="A5">
        <v>1</v>
      </c>
      <c r="B5">
        <v>0.86</v>
      </c>
      <c r="C5">
        <v>0.91</v>
      </c>
      <c r="D5" t="s">
        <v>278</v>
      </c>
    </row>
    <row r="6" spans="1:4" x14ac:dyDescent="0.3">
      <c r="A6">
        <v>1</v>
      </c>
      <c r="B6">
        <v>0.86</v>
      </c>
      <c r="C6">
        <v>0.91</v>
      </c>
      <c r="D6" t="s">
        <v>280</v>
      </c>
    </row>
    <row r="7" spans="1:4" x14ac:dyDescent="0.3">
      <c r="A7">
        <v>1</v>
      </c>
      <c r="B7">
        <v>0.86</v>
      </c>
      <c r="C7">
        <v>0.91</v>
      </c>
      <c r="D7" t="s">
        <v>280</v>
      </c>
    </row>
    <row r="8" spans="1:4" x14ac:dyDescent="0.3">
      <c r="A8">
        <v>1</v>
      </c>
      <c r="B8">
        <v>0.91</v>
      </c>
      <c r="C8">
        <v>1.22</v>
      </c>
      <c r="D8" t="s">
        <v>278</v>
      </c>
    </row>
    <row r="9" spans="1:4" x14ac:dyDescent="0.3">
      <c r="A9">
        <v>1</v>
      </c>
      <c r="B9">
        <v>0.41</v>
      </c>
      <c r="C9">
        <v>0.61</v>
      </c>
      <c r="D9" t="s">
        <v>280</v>
      </c>
    </row>
    <row r="10" spans="1:4" x14ac:dyDescent="0.3">
      <c r="A10">
        <v>1</v>
      </c>
      <c r="B10">
        <v>0.41</v>
      </c>
      <c r="C10">
        <v>0.61</v>
      </c>
      <c r="D10" t="s">
        <v>281</v>
      </c>
    </row>
    <row r="11" spans="1:4" x14ac:dyDescent="0.3">
      <c r="A11">
        <v>1</v>
      </c>
      <c r="B11">
        <v>0.41</v>
      </c>
      <c r="C11">
        <v>0.61</v>
      </c>
      <c r="D11" t="s">
        <v>281</v>
      </c>
    </row>
    <row r="12" spans="1:4" x14ac:dyDescent="0.3">
      <c r="A12">
        <v>1</v>
      </c>
      <c r="B12">
        <v>0.41</v>
      </c>
      <c r="C12">
        <v>0.61</v>
      </c>
      <c r="D12" t="s">
        <v>280</v>
      </c>
    </row>
    <row r="13" spans="1:4" x14ac:dyDescent="0.3">
      <c r="A13">
        <v>1</v>
      </c>
      <c r="B13">
        <v>0.41</v>
      </c>
      <c r="C13">
        <v>0.61</v>
      </c>
      <c r="D13" t="s">
        <v>281</v>
      </c>
    </row>
    <row r="14" spans="1:4" x14ac:dyDescent="0.3">
      <c r="A14">
        <v>1</v>
      </c>
      <c r="B14">
        <v>0.41</v>
      </c>
      <c r="C14">
        <v>0.61</v>
      </c>
      <c r="D14" t="s">
        <v>281</v>
      </c>
    </row>
    <row r="15" spans="1:4" x14ac:dyDescent="0.3">
      <c r="A15">
        <v>1</v>
      </c>
      <c r="B15">
        <v>0.41</v>
      </c>
      <c r="C15">
        <v>0.61</v>
      </c>
      <c r="D15" t="s">
        <v>280</v>
      </c>
    </row>
    <row r="16" spans="1:4" x14ac:dyDescent="0.3">
      <c r="A16">
        <v>1</v>
      </c>
      <c r="B16">
        <v>0.41</v>
      </c>
      <c r="C16">
        <v>0.61</v>
      </c>
      <c r="D16" t="s">
        <v>281</v>
      </c>
    </row>
    <row r="17" spans="1:4" x14ac:dyDescent="0.3">
      <c r="A17">
        <v>1</v>
      </c>
      <c r="B17">
        <v>0.41</v>
      </c>
      <c r="C17">
        <v>0.61</v>
      </c>
      <c r="D17" t="s">
        <v>281</v>
      </c>
    </row>
    <row r="18" spans="1:4" x14ac:dyDescent="0.3">
      <c r="A18">
        <v>1</v>
      </c>
      <c r="B18">
        <v>1.83</v>
      </c>
      <c r="C18">
        <v>1.8</v>
      </c>
      <c r="D18" t="s">
        <v>281</v>
      </c>
    </row>
    <row r="19" spans="1:4" x14ac:dyDescent="0.3">
      <c r="A19">
        <v>1</v>
      </c>
      <c r="B19">
        <v>1.83</v>
      </c>
      <c r="C19">
        <v>1.8</v>
      </c>
      <c r="D19" t="s">
        <v>279</v>
      </c>
    </row>
    <row r="20" spans="1:4" x14ac:dyDescent="0.3">
      <c r="A20">
        <v>1</v>
      </c>
      <c r="B20">
        <v>1.83</v>
      </c>
      <c r="C20">
        <v>1.8</v>
      </c>
      <c r="D20" t="s">
        <v>279</v>
      </c>
    </row>
    <row r="21" spans="1:4" x14ac:dyDescent="0.3">
      <c r="A21">
        <v>1</v>
      </c>
      <c r="B21">
        <v>1.83</v>
      </c>
      <c r="C21">
        <v>1.8</v>
      </c>
      <c r="D21" t="s">
        <v>278</v>
      </c>
    </row>
    <row r="22" spans="1:4" x14ac:dyDescent="0.3">
      <c r="A22">
        <v>1</v>
      </c>
      <c r="B22">
        <v>1.83</v>
      </c>
      <c r="C22">
        <v>1.8</v>
      </c>
      <c r="D22" t="s">
        <v>280</v>
      </c>
    </row>
    <row r="23" spans="1:4" x14ac:dyDescent="0.3">
      <c r="A23">
        <v>1</v>
      </c>
      <c r="B23">
        <v>1.83</v>
      </c>
      <c r="C23">
        <v>1.8</v>
      </c>
      <c r="D23" t="s">
        <v>281</v>
      </c>
    </row>
    <row r="24" spans="1:4" x14ac:dyDescent="0.3">
      <c r="A24">
        <v>1</v>
      </c>
      <c r="B24">
        <v>1.83</v>
      </c>
      <c r="C24">
        <v>1.8</v>
      </c>
      <c r="D24" t="s">
        <v>279</v>
      </c>
    </row>
    <row r="25" spans="1:4" x14ac:dyDescent="0.3">
      <c r="A25">
        <v>1</v>
      </c>
      <c r="B25">
        <v>1.83</v>
      </c>
      <c r="C25">
        <v>1.8</v>
      </c>
      <c r="D25" t="s">
        <v>278</v>
      </c>
    </row>
    <row r="26" spans="1:4" x14ac:dyDescent="0.3">
      <c r="A26">
        <v>1</v>
      </c>
      <c r="B26">
        <v>1.83</v>
      </c>
      <c r="C26">
        <v>1.8</v>
      </c>
      <c r="D26" t="s">
        <v>278</v>
      </c>
    </row>
    <row r="27" spans="1:4" x14ac:dyDescent="0.3">
      <c r="A27">
        <v>1</v>
      </c>
      <c r="B27">
        <v>1.83</v>
      </c>
      <c r="C27">
        <v>1.8</v>
      </c>
      <c r="D27" t="s">
        <v>280</v>
      </c>
    </row>
    <row r="28" spans="1:4" x14ac:dyDescent="0.3">
      <c r="A28">
        <v>1</v>
      </c>
      <c r="B28">
        <v>1.83</v>
      </c>
      <c r="C28">
        <v>1.8</v>
      </c>
      <c r="D28" t="s">
        <v>279</v>
      </c>
    </row>
    <row r="29" spans="1:4" x14ac:dyDescent="0.3">
      <c r="A29">
        <v>1</v>
      </c>
      <c r="B29">
        <v>1.83</v>
      </c>
      <c r="C29">
        <v>1.8</v>
      </c>
      <c r="D29" t="s">
        <v>280</v>
      </c>
    </row>
    <row r="30" spans="1:4" x14ac:dyDescent="0.3">
      <c r="A30">
        <v>1</v>
      </c>
      <c r="B30">
        <v>1.83</v>
      </c>
      <c r="C30">
        <v>1.8</v>
      </c>
      <c r="D30" t="s">
        <v>278</v>
      </c>
    </row>
    <row r="31" spans="1:4" x14ac:dyDescent="0.3">
      <c r="A31">
        <v>1</v>
      </c>
      <c r="B31">
        <v>1.83</v>
      </c>
      <c r="C31">
        <v>1.8</v>
      </c>
      <c r="D31" t="s">
        <v>278</v>
      </c>
    </row>
    <row r="32" spans="1:4" x14ac:dyDescent="0.3">
      <c r="A32">
        <v>1</v>
      </c>
      <c r="B32">
        <v>1.83</v>
      </c>
      <c r="C32">
        <v>1.8</v>
      </c>
      <c r="D32" t="s">
        <v>280</v>
      </c>
    </row>
    <row r="33" spans="1:4" x14ac:dyDescent="0.3">
      <c r="A33">
        <v>1</v>
      </c>
      <c r="B33">
        <v>1.83</v>
      </c>
      <c r="C33">
        <v>1.8</v>
      </c>
      <c r="D33" t="s">
        <v>279</v>
      </c>
    </row>
    <row r="34" spans="1:4" x14ac:dyDescent="0.3">
      <c r="A34">
        <v>1</v>
      </c>
      <c r="B34">
        <v>0.91</v>
      </c>
      <c r="C34">
        <v>1.22</v>
      </c>
      <c r="D34" t="s">
        <v>278</v>
      </c>
    </row>
    <row r="35" spans="1:4" x14ac:dyDescent="0.3">
      <c r="A35">
        <v>1</v>
      </c>
      <c r="B35">
        <v>0.91</v>
      </c>
      <c r="C35">
        <v>1.22</v>
      </c>
      <c r="D35" t="s">
        <v>278</v>
      </c>
    </row>
    <row r="36" spans="1:4" x14ac:dyDescent="0.3">
      <c r="A36">
        <v>1</v>
      </c>
      <c r="B36">
        <v>3.66</v>
      </c>
      <c r="C36">
        <v>2.74</v>
      </c>
      <c r="D36" t="s">
        <v>281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905B-30E5-47EE-BC9E-3C5E016D09D4}">
  <sheetPr codeName="Sheet1"/>
  <dimension ref="A1:AN81"/>
  <sheetViews>
    <sheetView zoomScale="70" zoomScaleNormal="70" workbookViewId="0">
      <selection sqref="A1:Q1"/>
    </sheetView>
  </sheetViews>
  <sheetFormatPr defaultRowHeight="14.4" x14ac:dyDescent="0.3"/>
  <cols>
    <col min="2" max="2" width="28.6640625" customWidth="1"/>
  </cols>
  <sheetData>
    <row r="1" spans="1:40" ht="15.6" x14ac:dyDescent="0.3">
      <c r="A1" s="206" t="s">
        <v>10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</row>
    <row r="2" spans="1:40" x14ac:dyDescent="0.3">
      <c r="A2" s="205" t="s">
        <v>11</v>
      </c>
      <c r="B2" s="205"/>
      <c r="C2" s="205"/>
      <c r="D2" s="207" t="s">
        <v>4</v>
      </c>
      <c r="E2" s="207"/>
      <c r="G2" s="204" t="s">
        <v>231</v>
      </c>
      <c r="H2" s="204"/>
      <c r="I2" s="204"/>
      <c r="J2" s="204"/>
      <c r="K2" s="135">
        <v>0.29899999999999999</v>
      </c>
    </row>
    <row r="3" spans="1:40" x14ac:dyDescent="0.3">
      <c r="A3" s="205" t="s">
        <v>128</v>
      </c>
      <c r="B3" s="205"/>
      <c r="C3" s="205"/>
      <c r="D3" s="207" t="s">
        <v>131</v>
      </c>
      <c r="E3" s="207"/>
      <c r="G3" s="204" t="s">
        <v>229</v>
      </c>
      <c r="H3" s="204"/>
      <c r="I3" s="204"/>
      <c r="J3" s="204"/>
      <c r="K3" s="135">
        <v>50</v>
      </c>
    </row>
    <row r="4" spans="1:40" x14ac:dyDescent="0.3">
      <c r="A4" s="205" t="s">
        <v>27</v>
      </c>
      <c r="B4" s="205"/>
      <c r="C4" s="205"/>
      <c r="D4" s="192">
        <v>26</v>
      </c>
      <c r="E4" s="192"/>
      <c r="G4" s="204" t="s">
        <v>227</v>
      </c>
      <c r="H4" s="204"/>
      <c r="I4" s="204"/>
      <c r="J4" s="204"/>
      <c r="K4" s="135">
        <v>10</v>
      </c>
    </row>
    <row r="5" spans="1:40" x14ac:dyDescent="0.3">
      <c r="A5" s="205" t="s">
        <v>111</v>
      </c>
      <c r="B5" s="205"/>
      <c r="C5" s="205"/>
      <c r="D5" s="192">
        <v>0.5</v>
      </c>
      <c r="E5" s="192"/>
      <c r="G5" s="204" t="s">
        <v>230</v>
      </c>
      <c r="H5" s="204"/>
      <c r="I5" s="204"/>
      <c r="J5" s="204"/>
      <c r="K5" s="135">
        <v>30</v>
      </c>
    </row>
    <row r="6" spans="1:40" x14ac:dyDescent="0.3">
      <c r="A6" s="191" t="s">
        <v>98</v>
      </c>
      <c r="B6" s="191"/>
      <c r="C6" s="191"/>
      <c r="D6" s="192"/>
      <c r="E6" s="193"/>
      <c r="F6" s="118"/>
    </row>
    <row r="7" spans="1:40" x14ac:dyDescent="0.3">
      <c r="A7" s="191" t="s">
        <v>104</v>
      </c>
      <c r="B7" s="191"/>
      <c r="C7" s="191"/>
      <c r="D7" s="192">
        <f>City_Details!H15</f>
        <v>0.74</v>
      </c>
      <c r="E7" s="192"/>
    </row>
    <row r="8" spans="1:40" x14ac:dyDescent="0.3">
      <c r="A8" s="191" t="s">
        <v>108</v>
      </c>
      <c r="B8" s="191"/>
      <c r="C8" s="191"/>
      <c r="D8" s="192">
        <f>City_Details!H16</f>
        <v>100.8</v>
      </c>
      <c r="E8" s="192"/>
    </row>
    <row r="9" spans="1:40" ht="15" thickBot="1" x14ac:dyDescent="0.35"/>
    <row r="10" spans="1:40" x14ac:dyDescent="0.3">
      <c r="A10" s="63" t="s">
        <v>31</v>
      </c>
      <c r="B10" s="64" t="s">
        <v>32</v>
      </c>
      <c r="C10" s="63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6"/>
      <c r="T10" s="66"/>
      <c r="U10" s="66"/>
      <c r="V10" s="66"/>
      <c r="W10" s="66"/>
      <c r="X10" s="63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6"/>
      <c r="AK10" s="66"/>
      <c r="AL10" s="66"/>
      <c r="AM10" s="66"/>
      <c r="AN10" s="64"/>
    </row>
    <row r="11" spans="1:40" x14ac:dyDescent="0.3">
      <c r="A11" s="20"/>
      <c r="B11" s="21" t="s">
        <v>33</v>
      </c>
      <c r="C11" s="20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3"/>
      <c r="T11" s="23"/>
      <c r="U11" s="23"/>
      <c r="V11" s="23"/>
      <c r="W11" s="23"/>
      <c r="X11" s="20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K11" s="23"/>
      <c r="AL11" s="23"/>
      <c r="AM11" s="23"/>
      <c r="AN11" s="21"/>
    </row>
    <row r="12" spans="1:40" x14ac:dyDescent="0.3">
      <c r="A12" s="24"/>
      <c r="B12" s="25"/>
      <c r="C12" s="26"/>
      <c r="D12" s="27"/>
      <c r="E12" s="27"/>
      <c r="F12" s="27"/>
      <c r="G12" s="193" t="s">
        <v>34</v>
      </c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5"/>
      <c r="X12" s="201" t="s">
        <v>34</v>
      </c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5"/>
    </row>
    <row r="13" spans="1:40" x14ac:dyDescent="0.3">
      <c r="A13" s="28" t="s">
        <v>35</v>
      </c>
      <c r="B13" s="29" t="s">
        <v>36</v>
      </c>
      <c r="C13" s="26"/>
      <c r="D13" s="27"/>
      <c r="E13" s="27"/>
      <c r="F13" s="27"/>
      <c r="G13" s="27" t="s">
        <v>37</v>
      </c>
      <c r="H13" s="27" t="s">
        <v>38</v>
      </c>
      <c r="I13" s="27" t="s">
        <v>39</v>
      </c>
      <c r="J13" s="27" t="s">
        <v>40</v>
      </c>
      <c r="K13" s="27" t="s">
        <v>41</v>
      </c>
      <c r="L13" s="27" t="s">
        <v>42</v>
      </c>
      <c r="M13" s="27" t="s">
        <v>43</v>
      </c>
      <c r="N13" s="27" t="s">
        <v>44</v>
      </c>
      <c r="O13" s="27" t="s">
        <v>45</v>
      </c>
      <c r="P13" s="27" t="s">
        <v>46</v>
      </c>
      <c r="Q13" s="27" t="s">
        <v>47</v>
      </c>
      <c r="R13" s="27" t="s">
        <v>48</v>
      </c>
      <c r="S13" s="30" t="s">
        <v>49</v>
      </c>
      <c r="T13" s="30" t="s">
        <v>50</v>
      </c>
      <c r="U13" s="30" t="s">
        <v>51</v>
      </c>
      <c r="V13" s="30" t="s">
        <v>52</v>
      </c>
      <c r="W13" s="31" t="s">
        <v>53</v>
      </c>
      <c r="X13" s="26" t="s">
        <v>37</v>
      </c>
      <c r="Y13" s="27" t="s">
        <v>38</v>
      </c>
      <c r="Z13" s="27" t="s">
        <v>39</v>
      </c>
      <c r="AA13" s="27" t="s">
        <v>40</v>
      </c>
      <c r="AB13" s="27" t="s">
        <v>41</v>
      </c>
      <c r="AC13" s="27" t="s">
        <v>42</v>
      </c>
      <c r="AD13" s="27" t="s">
        <v>43</v>
      </c>
      <c r="AE13" s="27" t="s">
        <v>44</v>
      </c>
      <c r="AF13" s="27" t="s">
        <v>45</v>
      </c>
      <c r="AG13" s="27" t="s">
        <v>46</v>
      </c>
      <c r="AH13" s="27" t="s">
        <v>47</v>
      </c>
      <c r="AI13" s="27" t="s">
        <v>48</v>
      </c>
      <c r="AJ13" s="30" t="s">
        <v>49</v>
      </c>
      <c r="AK13" s="30" t="s">
        <v>50</v>
      </c>
      <c r="AL13" s="30" t="s">
        <v>51</v>
      </c>
      <c r="AM13" s="30" t="s">
        <v>52</v>
      </c>
      <c r="AN13" s="30" t="s">
        <v>53</v>
      </c>
    </row>
    <row r="14" spans="1:40" x14ac:dyDescent="0.3">
      <c r="A14" s="24"/>
      <c r="B14" s="25"/>
      <c r="C14" s="26"/>
      <c r="D14" s="27"/>
      <c r="E14" s="32" t="s">
        <v>54</v>
      </c>
      <c r="F14" s="82" t="s">
        <v>31</v>
      </c>
      <c r="G14" s="193" t="s">
        <v>55</v>
      </c>
      <c r="H14" s="194"/>
      <c r="I14" s="194"/>
      <c r="J14" s="194"/>
      <c r="K14" s="194"/>
      <c r="L14" s="194"/>
      <c r="M14" s="194"/>
      <c r="N14" s="194"/>
      <c r="O14" s="194"/>
      <c r="P14" s="194"/>
      <c r="Q14" s="194"/>
      <c r="R14" s="194"/>
      <c r="S14" s="194"/>
      <c r="T14" s="194"/>
      <c r="U14" s="194"/>
      <c r="V14" s="194"/>
      <c r="W14" s="195"/>
      <c r="X14" s="198" t="s">
        <v>212</v>
      </c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3"/>
      <c r="AK14" s="193"/>
      <c r="AL14" s="193"/>
      <c r="AM14" s="193"/>
      <c r="AN14" s="199"/>
    </row>
    <row r="15" spans="1:40" x14ac:dyDescent="0.3">
      <c r="A15" s="24"/>
      <c r="B15" s="25" t="s">
        <v>56</v>
      </c>
      <c r="C15" s="26"/>
      <c r="D15" s="27"/>
      <c r="E15" s="82"/>
      <c r="F15" s="82"/>
      <c r="G15" s="32" t="e">
        <f>Wall!J24</f>
        <v>#N/A</v>
      </c>
      <c r="H15" s="89" t="e">
        <f>Wall!K24</f>
        <v>#N/A</v>
      </c>
      <c r="I15" s="89" t="e">
        <f>Wall!L24</f>
        <v>#N/A</v>
      </c>
      <c r="J15" s="89" t="e">
        <f>Wall!M24</f>
        <v>#N/A</v>
      </c>
      <c r="K15" s="89" t="e">
        <f>Wall!N24</f>
        <v>#N/A</v>
      </c>
      <c r="L15" s="89" t="e">
        <f>Wall!O24</f>
        <v>#N/A</v>
      </c>
      <c r="M15" s="89" t="e">
        <f>Wall!P24</f>
        <v>#N/A</v>
      </c>
      <c r="N15" s="89" t="e">
        <f>Wall!Q24</f>
        <v>#N/A</v>
      </c>
      <c r="O15" s="89" t="e">
        <f>Wall!R24</f>
        <v>#N/A</v>
      </c>
      <c r="P15" s="89" t="e">
        <f>Wall!S24</f>
        <v>#N/A</v>
      </c>
      <c r="Q15" s="89" t="e">
        <f>Wall!T24</f>
        <v>#N/A</v>
      </c>
      <c r="R15" s="89" t="e">
        <f>Wall!U24</f>
        <v>#N/A</v>
      </c>
      <c r="S15" s="89" t="e">
        <f>Wall!V24</f>
        <v>#N/A</v>
      </c>
      <c r="T15" s="89" t="e">
        <f>Wall!W24</f>
        <v>#N/A</v>
      </c>
      <c r="U15" s="89" t="e">
        <f>Wall!X24</f>
        <v>#N/A</v>
      </c>
      <c r="V15" s="89" t="e">
        <f>Wall!Y24</f>
        <v>#N/A</v>
      </c>
      <c r="W15" s="89" t="e">
        <f>Wall!Z24</f>
        <v>#N/A</v>
      </c>
      <c r="X15" s="34" t="e">
        <f>0.293071*$E15*$F15*G15</f>
        <v>#N/A</v>
      </c>
      <c r="Y15" s="88" t="e">
        <f t="shared" ref="Y15:AN15" si="0">0.293071*$E15*$F15*H15</f>
        <v>#N/A</v>
      </c>
      <c r="Z15" s="88" t="e">
        <f t="shared" si="0"/>
        <v>#N/A</v>
      </c>
      <c r="AA15" s="88" t="e">
        <f t="shared" si="0"/>
        <v>#N/A</v>
      </c>
      <c r="AB15" s="88" t="e">
        <f t="shared" si="0"/>
        <v>#N/A</v>
      </c>
      <c r="AC15" s="88" t="e">
        <f t="shared" si="0"/>
        <v>#N/A</v>
      </c>
      <c r="AD15" s="88" t="e">
        <f t="shared" si="0"/>
        <v>#N/A</v>
      </c>
      <c r="AE15" s="88" t="e">
        <f t="shared" si="0"/>
        <v>#N/A</v>
      </c>
      <c r="AF15" s="88" t="e">
        <f t="shared" si="0"/>
        <v>#N/A</v>
      </c>
      <c r="AG15" s="88" t="e">
        <f t="shared" si="0"/>
        <v>#N/A</v>
      </c>
      <c r="AH15" s="88" t="e">
        <f t="shared" si="0"/>
        <v>#N/A</v>
      </c>
      <c r="AI15" s="88" t="e">
        <f t="shared" si="0"/>
        <v>#N/A</v>
      </c>
      <c r="AJ15" s="88" t="e">
        <f t="shared" si="0"/>
        <v>#N/A</v>
      </c>
      <c r="AK15" s="88" t="e">
        <f t="shared" si="0"/>
        <v>#N/A</v>
      </c>
      <c r="AL15" s="88" t="e">
        <f t="shared" si="0"/>
        <v>#N/A</v>
      </c>
      <c r="AM15" s="88" t="e">
        <f t="shared" si="0"/>
        <v>#N/A</v>
      </c>
      <c r="AN15" s="88" t="e">
        <f t="shared" si="0"/>
        <v>#N/A</v>
      </c>
    </row>
    <row r="16" spans="1:40" x14ac:dyDescent="0.3">
      <c r="A16" s="24"/>
      <c r="B16" s="25" t="s">
        <v>116</v>
      </c>
      <c r="C16" s="26"/>
      <c r="D16" s="27"/>
      <c r="E16" s="82"/>
      <c r="F16" s="82"/>
      <c r="G16" s="89" t="e">
        <f>Wall!J25</f>
        <v>#N/A</v>
      </c>
      <c r="H16" s="89" t="e">
        <f>Wall!K25</f>
        <v>#N/A</v>
      </c>
      <c r="I16" s="89" t="e">
        <f>Wall!L25</f>
        <v>#N/A</v>
      </c>
      <c r="J16" s="89" t="e">
        <f>Wall!M25</f>
        <v>#N/A</v>
      </c>
      <c r="K16" s="89" t="e">
        <f>Wall!N25</f>
        <v>#N/A</v>
      </c>
      <c r="L16" s="89" t="e">
        <f>Wall!O25</f>
        <v>#N/A</v>
      </c>
      <c r="M16" s="89" t="e">
        <f>Wall!P25</f>
        <v>#N/A</v>
      </c>
      <c r="N16" s="89" t="e">
        <f>Wall!Q25</f>
        <v>#N/A</v>
      </c>
      <c r="O16" s="89" t="e">
        <f>Wall!R25</f>
        <v>#N/A</v>
      </c>
      <c r="P16" s="89" t="e">
        <f>Wall!S25</f>
        <v>#N/A</v>
      </c>
      <c r="Q16" s="89" t="e">
        <f>Wall!T25</f>
        <v>#N/A</v>
      </c>
      <c r="R16" s="89" t="e">
        <f>Wall!U25</f>
        <v>#N/A</v>
      </c>
      <c r="S16" s="89" t="e">
        <f>Wall!V25</f>
        <v>#N/A</v>
      </c>
      <c r="T16" s="89" t="e">
        <f>Wall!W25</f>
        <v>#N/A</v>
      </c>
      <c r="U16" s="89" t="e">
        <f>Wall!X25</f>
        <v>#N/A</v>
      </c>
      <c r="V16" s="89" t="e">
        <f>Wall!Y25</f>
        <v>#N/A</v>
      </c>
      <c r="W16" s="89" t="e">
        <f>Wall!Z25</f>
        <v>#N/A</v>
      </c>
      <c r="X16" s="88" t="e">
        <f t="shared" ref="X16:X23" si="1">0.293071*$E16*$F16*G16</f>
        <v>#N/A</v>
      </c>
      <c r="Y16" s="88" t="e">
        <f t="shared" ref="Y16:Y23" si="2">0.293071*$E16*$F16*H16</f>
        <v>#N/A</v>
      </c>
      <c r="Z16" s="88" t="e">
        <f t="shared" ref="Z16:Z23" si="3">0.293071*$E16*$F16*I16</f>
        <v>#N/A</v>
      </c>
      <c r="AA16" s="88" t="e">
        <f t="shared" ref="AA16:AA23" si="4">0.293071*$E16*$F16*J16</f>
        <v>#N/A</v>
      </c>
      <c r="AB16" s="88" t="e">
        <f t="shared" ref="AB16:AB23" si="5">0.293071*$E16*$F16*K16</f>
        <v>#N/A</v>
      </c>
      <c r="AC16" s="88" t="e">
        <f t="shared" ref="AC16:AC23" si="6">0.293071*$E16*$F16*L16</f>
        <v>#N/A</v>
      </c>
      <c r="AD16" s="88" t="e">
        <f t="shared" ref="AD16:AD23" si="7">0.293071*$E16*$F16*M16</f>
        <v>#N/A</v>
      </c>
      <c r="AE16" s="88" t="e">
        <f t="shared" ref="AE16:AE23" si="8">0.293071*$E16*$F16*N16</f>
        <v>#N/A</v>
      </c>
      <c r="AF16" s="88" t="e">
        <f t="shared" ref="AF16:AF23" si="9">0.293071*$E16*$F16*O16</f>
        <v>#N/A</v>
      </c>
      <c r="AG16" s="88" t="e">
        <f t="shared" ref="AG16:AG23" si="10">0.293071*$E16*$F16*P16</f>
        <v>#N/A</v>
      </c>
      <c r="AH16" s="88" t="e">
        <f t="shared" ref="AH16:AH23" si="11">0.293071*$E16*$F16*Q16</f>
        <v>#N/A</v>
      </c>
      <c r="AI16" s="88" t="e">
        <f t="shared" ref="AI16:AI23" si="12">0.293071*$E16*$F16*R16</f>
        <v>#N/A</v>
      </c>
      <c r="AJ16" s="88" t="e">
        <f t="shared" ref="AJ16:AJ23" si="13">0.293071*$E16*$F16*S16</f>
        <v>#N/A</v>
      </c>
      <c r="AK16" s="88" t="e">
        <f t="shared" ref="AK16:AK23" si="14">0.293071*$E16*$F16*T16</f>
        <v>#N/A</v>
      </c>
      <c r="AL16" s="88" t="e">
        <f t="shared" ref="AL16:AL23" si="15">0.293071*$E16*$F16*U16</f>
        <v>#N/A</v>
      </c>
      <c r="AM16" s="88" t="e">
        <f t="shared" ref="AM16:AM23" si="16">0.293071*$E16*$F16*V16</f>
        <v>#N/A</v>
      </c>
      <c r="AN16" s="88" t="e">
        <f t="shared" ref="AN16:AN23" si="17">0.293071*$E16*$F16*W16</f>
        <v>#N/A</v>
      </c>
    </row>
    <row r="17" spans="1:40" x14ac:dyDescent="0.3">
      <c r="A17" s="24"/>
      <c r="B17" s="25" t="s">
        <v>58</v>
      </c>
      <c r="C17" s="26"/>
      <c r="D17" s="27"/>
      <c r="E17" s="82"/>
      <c r="F17" s="82"/>
      <c r="G17" s="89" t="e">
        <f>Wall!J26</f>
        <v>#N/A</v>
      </c>
      <c r="H17" s="89" t="e">
        <f>Wall!K26</f>
        <v>#N/A</v>
      </c>
      <c r="I17" s="89" t="e">
        <f>Wall!L26</f>
        <v>#N/A</v>
      </c>
      <c r="J17" s="89" t="e">
        <f>Wall!M26</f>
        <v>#N/A</v>
      </c>
      <c r="K17" s="89" t="e">
        <f>Wall!N26</f>
        <v>#N/A</v>
      </c>
      <c r="L17" s="89" t="e">
        <f>Wall!O26</f>
        <v>#N/A</v>
      </c>
      <c r="M17" s="89" t="e">
        <f>Wall!P26</f>
        <v>#N/A</v>
      </c>
      <c r="N17" s="89" t="e">
        <f>Wall!Q26</f>
        <v>#N/A</v>
      </c>
      <c r="O17" s="89" t="e">
        <f>Wall!R26</f>
        <v>#N/A</v>
      </c>
      <c r="P17" s="89" t="e">
        <f>Wall!S26</f>
        <v>#N/A</v>
      </c>
      <c r="Q17" s="89" t="e">
        <f>Wall!T26</f>
        <v>#N/A</v>
      </c>
      <c r="R17" s="89" t="e">
        <f>Wall!U26</f>
        <v>#N/A</v>
      </c>
      <c r="S17" s="89" t="e">
        <f>Wall!V26</f>
        <v>#N/A</v>
      </c>
      <c r="T17" s="89" t="e">
        <f>Wall!W26</f>
        <v>#N/A</v>
      </c>
      <c r="U17" s="89" t="e">
        <f>Wall!X26</f>
        <v>#N/A</v>
      </c>
      <c r="V17" s="89" t="e">
        <f>Wall!Y26</f>
        <v>#N/A</v>
      </c>
      <c r="W17" s="89" t="e">
        <f>Wall!Z26</f>
        <v>#N/A</v>
      </c>
      <c r="X17" s="88" t="e">
        <f t="shared" si="1"/>
        <v>#N/A</v>
      </c>
      <c r="Y17" s="88" t="e">
        <f t="shared" si="2"/>
        <v>#N/A</v>
      </c>
      <c r="Z17" s="88" t="e">
        <f t="shared" si="3"/>
        <v>#N/A</v>
      </c>
      <c r="AA17" s="88" t="e">
        <f t="shared" si="4"/>
        <v>#N/A</v>
      </c>
      <c r="AB17" s="88" t="e">
        <f t="shared" si="5"/>
        <v>#N/A</v>
      </c>
      <c r="AC17" s="88" t="e">
        <f t="shared" si="6"/>
        <v>#N/A</v>
      </c>
      <c r="AD17" s="88" t="e">
        <f t="shared" si="7"/>
        <v>#N/A</v>
      </c>
      <c r="AE17" s="88" t="e">
        <f t="shared" si="8"/>
        <v>#N/A</v>
      </c>
      <c r="AF17" s="88" t="e">
        <f t="shared" si="9"/>
        <v>#N/A</v>
      </c>
      <c r="AG17" s="88" t="e">
        <f t="shared" si="10"/>
        <v>#N/A</v>
      </c>
      <c r="AH17" s="88" t="e">
        <f t="shared" si="11"/>
        <v>#N/A</v>
      </c>
      <c r="AI17" s="88" t="e">
        <f t="shared" si="12"/>
        <v>#N/A</v>
      </c>
      <c r="AJ17" s="88" t="e">
        <f t="shared" si="13"/>
        <v>#N/A</v>
      </c>
      <c r="AK17" s="88" t="e">
        <f t="shared" si="14"/>
        <v>#N/A</v>
      </c>
      <c r="AL17" s="88" t="e">
        <f t="shared" si="15"/>
        <v>#N/A</v>
      </c>
      <c r="AM17" s="88" t="e">
        <f t="shared" si="16"/>
        <v>#N/A</v>
      </c>
      <c r="AN17" s="88" t="e">
        <f t="shared" si="17"/>
        <v>#N/A</v>
      </c>
    </row>
    <row r="18" spans="1:40" x14ac:dyDescent="0.3">
      <c r="A18" s="24"/>
      <c r="B18" s="25" t="s">
        <v>117</v>
      </c>
      <c r="C18" s="26"/>
      <c r="D18" s="27"/>
      <c r="E18" s="82"/>
      <c r="F18" s="82"/>
      <c r="G18" s="89" t="e">
        <f>Wall!J27</f>
        <v>#N/A</v>
      </c>
      <c r="H18" s="89" t="e">
        <f>Wall!K27</f>
        <v>#N/A</v>
      </c>
      <c r="I18" s="89" t="e">
        <f>Wall!L27</f>
        <v>#N/A</v>
      </c>
      <c r="J18" s="89" t="e">
        <f>Wall!M27</f>
        <v>#N/A</v>
      </c>
      <c r="K18" s="89" t="e">
        <f>Wall!N27</f>
        <v>#N/A</v>
      </c>
      <c r="L18" s="89" t="e">
        <f>Wall!O27</f>
        <v>#N/A</v>
      </c>
      <c r="M18" s="89" t="e">
        <f>Wall!P27</f>
        <v>#N/A</v>
      </c>
      <c r="N18" s="89" t="e">
        <f>Wall!Q27</f>
        <v>#N/A</v>
      </c>
      <c r="O18" s="89" t="e">
        <f>Wall!R27</f>
        <v>#N/A</v>
      </c>
      <c r="P18" s="89" t="e">
        <f>Wall!S27</f>
        <v>#N/A</v>
      </c>
      <c r="Q18" s="89" t="e">
        <f>Wall!T27</f>
        <v>#N/A</v>
      </c>
      <c r="R18" s="89" t="e">
        <f>Wall!U27</f>
        <v>#N/A</v>
      </c>
      <c r="S18" s="89" t="e">
        <f>Wall!V27</f>
        <v>#N/A</v>
      </c>
      <c r="T18" s="89" t="e">
        <f>Wall!W27</f>
        <v>#N/A</v>
      </c>
      <c r="U18" s="89" t="e">
        <f>Wall!X27</f>
        <v>#N/A</v>
      </c>
      <c r="V18" s="89" t="e">
        <f>Wall!Y27</f>
        <v>#N/A</v>
      </c>
      <c r="W18" s="89" t="e">
        <f>Wall!Z27</f>
        <v>#N/A</v>
      </c>
      <c r="X18" s="88" t="e">
        <f t="shared" si="1"/>
        <v>#N/A</v>
      </c>
      <c r="Y18" s="88" t="e">
        <f t="shared" si="2"/>
        <v>#N/A</v>
      </c>
      <c r="Z18" s="88" t="e">
        <f t="shared" si="3"/>
        <v>#N/A</v>
      </c>
      <c r="AA18" s="88" t="e">
        <f t="shared" si="4"/>
        <v>#N/A</v>
      </c>
      <c r="AB18" s="88" t="e">
        <f t="shared" si="5"/>
        <v>#N/A</v>
      </c>
      <c r="AC18" s="88" t="e">
        <f t="shared" si="6"/>
        <v>#N/A</v>
      </c>
      <c r="AD18" s="88" t="e">
        <f t="shared" si="7"/>
        <v>#N/A</v>
      </c>
      <c r="AE18" s="88" t="e">
        <f t="shared" si="8"/>
        <v>#N/A</v>
      </c>
      <c r="AF18" s="88" t="e">
        <f t="shared" si="9"/>
        <v>#N/A</v>
      </c>
      <c r="AG18" s="88" t="e">
        <f t="shared" si="10"/>
        <v>#N/A</v>
      </c>
      <c r="AH18" s="88" t="e">
        <f t="shared" si="11"/>
        <v>#N/A</v>
      </c>
      <c r="AI18" s="88" t="e">
        <f t="shared" si="12"/>
        <v>#N/A</v>
      </c>
      <c r="AJ18" s="88" t="e">
        <f t="shared" si="13"/>
        <v>#N/A</v>
      </c>
      <c r="AK18" s="88" t="e">
        <f t="shared" si="14"/>
        <v>#N/A</v>
      </c>
      <c r="AL18" s="88" t="e">
        <f t="shared" si="15"/>
        <v>#N/A</v>
      </c>
      <c r="AM18" s="88" t="e">
        <f t="shared" si="16"/>
        <v>#N/A</v>
      </c>
      <c r="AN18" s="88" t="e">
        <f t="shared" si="17"/>
        <v>#N/A</v>
      </c>
    </row>
    <row r="19" spans="1:40" x14ac:dyDescent="0.3">
      <c r="A19" s="24"/>
      <c r="B19" s="25" t="s">
        <v>57</v>
      </c>
      <c r="C19" s="26"/>
      <c r="D19" s="27"/>
      <c r="E19" s="82"/>
      <c r="F19" s="82"/>
      <c r="G19" s="89" t="e">
        <f>Wall!J28</f>
        <v>#N/A</v>
      </c>
      <c r="H19" s="89" t="e">
        <f>Wall!K28</f>
        <v>#N/A</v>
      </c>
      <c r="I19" s="89" t="e">
        <f>Wall!L28</f>
        <v>#N/A</v>
      </c>
      <c r="J19" s="89" t="e">
        <f>Wall!M28</f>
        <v>#N/A</v>
      </c>
      <c r="K19" s="89" t="e">
        <f>Wall!N28</f>
        <v>#N/A</v>
      </c>
      <c r="L19" s="89" t="e">
        <f>Wall!O28</f>
        <v>#N/A</v>
      </c>
      <c r="M19" s="89" t="e">
        <f>Wall!P28</f>
        <v>#N/A</v>
      </c>
      <c r="N19" s="89" t="e">
        <f>Wall!Q28</f>
        <v>#N/A</v>
      </c>
      <c r="O19" s="89" t="e">
        <f>Wall!R28</f>
        <v>#N/A</v>
      </c>
      <c r="P19" s="89" t="e">
        <f>Wall!S28</f>
        <v>#N/A</v>
      </c>
      <c r="Q19" s="89" t="e">
        <f>Wall!T28</f>
        <v>#N/A</v>
      </c>
      <c r="R19" s="89" t="e">
        <f>Wall!U28</f>
        <v>#N/A</v>
      </c>
      <c r="S19" s="89" t="e">
        <f>Wall!V28</f>
        <v>#N/A</v>
      </c>
      <c r="T19" s="89" t="e">
        <f>Wall!W28</f>
        <v>#N/A</v>
      </c>
      <c r="U19" s="89" t="e">
        <f>Wall!X28</f>
        <v>#N/A</v>
      </c>
      <c r="V19" s="89" t="e">
        <f>Wall!Y28</f>
        <v>#N/A</v>
      </c>
      <c r="W19" s="89" t="e">
        <f>Wall!Z28</f>
        <v>#N/A</v>
      </c>
      <c r="X19" s="88" t="e">
        <f t="shared" si="1"/>
        <v>#N/A</v>
      </c>
      <c r="Y19" s="88" t="e">
        <f t="shared" si="2"/>
        <v>#N/A</v>
      </c>
      <c r="Z19" s="88" t="e">
        <f t="shared" si="3"/>
        <v>#N/A</v>
      </c>
      <c r="AA19" s="88" t="e">
        <f t="shared" si="4"/>
        <v>#N/A</v>
      </c>
      <c r="AB19" s="88" t="e">
        <f t="shared" si="5"/>
        <v>#N/A</v>
      </c>
      <c r="AC19" s="88" t="e">
        <f t="shared" si="6"/>
        <v>#N/A</v>
      </c>
      <c r="AD19" s="88" t="e">
        <f t="shared" si="7"/>
        <v>#N/A</v>
      </c>
      <c r="AE19" s="88" t="e">
        <f t="shared" si="8"/>
        <v>#N/A</v>
      </c>
      <c r="AF19" s="88" t="e">
        <f t="shared" si="9"/>
        <v>#N/A</v>
      </c>
      <c r="AG19" s="88" t="e">
        <f t="shared" si="10"/>
        <v>#N/A</v>
      </c>
      <c r="AH19" s="88" t="e">
        <f t="shared" si="11"/>
        <v>#N/A</v>
      </c>
      <c r="AI19" s="88" t="e">
        <f t="shared" si="12"/>
        <v>#N/A</v>
      </c>
      <c r="AJ19" s="88" t="e">
        <f t="shared" si="13"/>
        <v>#N/A</v>
      </c>
      <c r="AK19" s="88" t="e">
        <f t="shared" si="14"/>
        <v>#N/A</v>
      </c>
      <c r="AL19" s="88" t="e">
        <f t="shared" si="15"/>
        <v>#N/A</v>
      </c>
      <c r="AM19" s="88" t="e">
        <f t="shared" si="16"/>
        <v>#N/A</v>
      </c>
      <c r="AN19" s="88" t="e">
        <f t="shared" si="17"/>
        <v>#N/A</v>
      </c>
    </row>
    <row r="20" spans="1:40" x14ac:dyDescent="0.3">
      <c r="A20" s="24"/>
      <c r="B20" s="25" t="s">
        <v>118</v>
      </c>
      <c r="C20" s="26"/>
      <c r="D20" s="27"/>
      <c r="E20" s="82"/>
      <c r="F20" s="82"/>
      <c r="G20" s="89" t="e">
        <f>Wall!J29</f>
        <v>#N/A</v>
      </c>
      <c r="H20" s="89" t="e">
        <f>Wall!K29</f>
        <v>#N/A</v>
      </c>
      <c r="I20" s="89" t="e">
        <f>Wall!L29</f>
        <v>#N/A</v>
      </c>
      <c r="J20" s="89" t="e">
        <f>Wall!M29</f>
        <v>#N/A</v>
      </c>
      <c r="K20" s="89" t="e">
        <f>Wall!N29</f>
        <v>#N/A</v>
      </c>
      <c r="L20" s="89" t="e">
        <f>Wall!O29</f>
        <v>#N/A</v>
      </c>
      <c r="M20" s="89" t="e">
        <f>Wall!P29</f>
        <v>#N/A</v>
      </c>
      <c r="N20" s="89" t="e">
        <f>Wall!Q29</f>
        <v>#N/A</v>
      </c>
      <c r="O20" s="89" t="e">
        <f>Wall!R29</f>
        <v>#N/A</v>
      </c>
      <c r="P20" s="89" t="e">
        <f>Wall!S29</f>
        <v>#N/A</v>
      </c>
      <c r="Q20" s="89" t="e">
        <f>Wall!T29</f>
        <v>#N/A</v>
      </c>
      <c r="R20" s="89" t="e">
        <f>Wall!U29</f>
        <v>#N/A</v>
      </c>
      <c r="S20" s="89" t="e">
        <f>Wall!V29</f>
        <v>#N/A</v>
      </c>
      <c r="T20" s="89" t="e">
        <f>Wall!W29</f>
        <v>#N/A</v>
      </c>
      <c r="U20" s="89" t="e">
        <f>Wall!X29</f>
        <v>#N/A</v>
      </c>
      <c r="V20" s="89" t="e">
        <f>Wall!Y29</f>
        <v>#N/A</v>
      </c>
      <c r="W20" s="89" t="e">
        <f>Wall!Z29</f>
        <v>#N/A</v>
      </c>
      <c r="X20" s="88" t="e">
        <f t="shared" si="1"/>
        <v>#N/A</v>
      </c>
      <c r="Y20" s="88" t="e">
        <f t="shared" si="2"/>
        <v>#N/A</v>
      </c>
      <c r="Z20" s="88" t="e">
        <f t="shared" si="3"/>
        <v>#N/A</v>
      </c>
      <c r="AA20" s="88" t="e">
        <f t="shared" si="4"/>
        <v>#N/A</v>
      </c>
      <c r="AB20" s="88" t="e">
        <f t="shared" si="5"/>
        <v>#N/A</v>
      </c>
      <c r="AC20" s="88" t="e">
        <f t="shared" si="6"/>
        <v>#N/A</v>
      </c>
      <c r="AD20" s="88" t="e">
        <f t="shared" si="7"/>
        <v>#N/A</v>
      </c>
      <c r="AE20" s="88" t="e">
        <f t="shared" si="8"/>
        <v>#N/A</v>
      </c>
      <c r="AF20" s="88" t="e">
        <f t="shared" si="9"/>
        <v>#N/A</v>
      </c>
      <c r="AG20" s="88" t="e">
        <f t="shared" si="10"/>
        <v>#N/A</v>
      </c>
      <c r="AH20" s="88" t="e">
        <f t="shared" si="11"/>
        <v>#N/A</v>
      </c>
      <c r="AI20" s="88" t="e">
        <f t="shared" si="12"/>
        <v>#N/A</v>
      </c>
      <c r="AJ20" s="88" t="e">
        <f t="shared" si="13"/>
        <v>#N/A</v>
      </c>
      <c r="AK20" s="88" t="e">
        <f t="shared" si="14"/>
        <v>#N/A</v>
      </c>
      <c r="AL20" s="88" t="e">
        <f t="shared" si="15"/>
        <v>#N/A</v>
      </c>
      <c r="AM20" s="88" t="e">
        <f t="shared" si="16"/>
        <v>#N/A</v>
      </c>
      <c r="AN20" s="88" t="e">
        <f t="shared" si="17"/>
        <v>#N/A</v>
      </c>
    </row>
    <row r="21" spans="1:40" x14ac:dyDescent="0.3">
      <c r="A21" s="24"/>
      <c r="B21" s="25" t="s">
        <v>59</v>
      </c>
      <c r="C21" s="26"/>
      <c r="D21" s="27"/>
      <c r="E21" s="82"/>
      <c r="F21" s="82"/>
      <c r="G21" s="89" t="e">
        <f>Wall!J30</f>
        <v>#N/A</v>
      </c>
      <c r="H21" s="89" t="e">
        <f>Wall!K30</f>
        <v>#N/A</v>
      </c>
      <c r="I21" s="89" t="e">
        <f>Wall!L30</f>
        <v>#N/A</v>
      </c>
      <c r="J21" s="89" t="e">
        <f>Wall!M30</f>
        <v>#N/A</v>
      </c>
      <c r="K21" s="89" t="e">
        <f>Wall!N30</f>
        <v>#N/A</v>
      </c>
      <c r="L21" s="89" t="e">
        <f>Wall!O30</f>
        <v>#N/A</v>
      </c>
      <c r="M21" s="89" t="e">
        <f>Wall!P30</f>
        <v>#N/A</v>
      </c>
      <c r="N21" s="89" t="e">
        <f>Wall!Q30</f>
        <v>#N/A</v>
      </c>
      <c r="O21" s="89" t="e">
        <f>Wall!R30</f>
        <v>#N/A</v>
      </c>
      <c r="P21" s="89" t="e">
        <f>Wall!S30</f>
        <v>#N/A</v>
      </c>
      <c r="Q21" s="89" t="e">
        <f>Wall!T30</f>
        <v>#N/A</v>
      </c>
      <c r="R21" s="89" t="e">
        <f>Wall!U30</f>
        <v>#N/A</v>
      </c>
      <c r="S21" s="89" t="e">
        <f>Wall!V30</f>
        <v>#N/A</v>
      </c>
      <c r="T21" s="89" t="e">
        <f>Wall!W30</f>
        <v>#N/A</v>
      </c>
      <c r="U21" s="89" t="e">
        <f>Wall!X30</f>
        <v>#N/A</v>
      </c>
      <c r="V21" s="89" t="e">
        <f>Wall!Y30</f>
        <v>#N/A</v>
      </c>
      <c r="W21" s="89" t="e">
        <f>Wall!Z30</f>
        <v>#N/A</v>
      </c>
      <c r="X21" s="88" t="e">
        <f t="shared" si="1"/>
        <v>#N/A</v>
      </c>
      <c r="Y21" s="88" t="e">
        <f t="shared" si="2"/>
        <v>#N/A</v>
      </c>
      <c r="Z21" s="88" t="e">
        <f t="shared" si="3"/>
        <v>#N/A</v>
      </c>
      <c r="AA21" s="88" t="e">
        <f t="shared" si="4"/>
        <v>#N/A</v>
      </c>
      <c r="AB21" s="88" t="e">
        <f t="shared" si="5"/>
        <v>#N/A</v>
      </c>
      <c r="AC21" s="88" t="e">
        <f t="shared" si="6"/>
        <v>#N/A</v>
      </c>
      <c r="AD21" s="88" t="e">
        <f t="shared" si="7"/>
        <v>#N/A</v>
      </c>
      <c r="AE21" s="88" t="e">
        <f t="shared" si="8"/>
        <v>#N/A</v>
      </c>
      <c r="AF21" s="88" t="e">
        <f t="shared" si="9"/>
        <v>#N/A</v>
      </c>
      <c r="AG21" s="88" t="e">
        <f t="shared" si="10"/>
        <v>#N/A</v>
      </c>
      <c r="AH21" s="88" t="e">
        <f t="shared" si="11"/>
        <v>#N/A</v>
      </c>
      <c r="AI21" s="88" t="e">
        <f t="shared" si="12"/>
        <v>#N/A</v>
      </c>
      <c r="AJ21" s="88" t="e">
        <f t="shared" si="13"/>
        <v>#N/A</v>
      </c>
      <c r="AK21" s="88" t="e">
        <f t="shared" si="14"/>
        <v>#N/A</v>
      </c>
      <c r="AL21" s="88" t="e">
        <f t="shared" si="15"/>
        <v>#N/A</v>
      </c>
      <c r="AM21" s="88" t="e">
        <f t="shared" si="16"/>
        <v>#N/A</v>
      </c>
      <c r="AN21" s="88" t="e">
        <f t="shared" si="17"/>
        <v>#N/A</v>
      </c>
    </row>
    <row r="22" spans="1:40" x14ac:dyDescent="0.3">
      <c r="A22" s="24"/>
      <c r="B22" s="25" t="s">
        <v>119</v>
      </c>
      <c r="C22" s="26"/>
      <c r="D22" s="27"/>
      <c r="E22" s="82"/>
      <c r="F22" s="82"/>
      <c r="G22" s="89" t="e">
        <f>Wall!J31</f>
        <v>#N/A</v>
      </c>
      <c r="H22" s="89" t="e">
        <f>Wall!K31</f>
        <v>#N/A</v>
      </c>
      <c r="I22" s="89" t="e">
        <f>Wall!L31</f>
        <v>#N/A</v>
      </c>
      <c r="J22" s="89" t="e">
        <f>Wall!M31</f>
        <v>#N/A</v>
      </c>
      <c r="K22" s="89" t="e">
        <f>Wall!N31</f>
        <v>#N/A</v>
      </c>
      <c r="L22" s="89" t="e">
        <f>Wall!O31</f>
        <v>#N/A</v>
      </c>
      <c r="M22" s="89" t="e">
        <f>Wall!P31</f>
        <v>#N/A</v>
      </c>
      <c r="N22" s="89" t="e">
        <f>Wall!Q31</f>
        <v>#N/A</v>
      </c>
      <c r="O22" s="89" t="e">
        <f>Wall!R31</f>
        <v>#N/A</v>
      </c>
      <c r="P22" s="89" t="e">
        <f>Wall!S31</f>
        <v>#N/A</v>
      </c>
      <c r="Q22" s="89" t="e">
        <f>Wall!T31</f>
        <v>#N/A</v>
      </c>
      <c r="R22" s="89" t="e">
        <f>Wall!U31</f>
        <v>#N/A</v>
      </c>
      <c r="S22" s="89" t="e">
        <f>Wall!V31</f>
        <v>#N/A</v>
      </c>
      <c r="T22" s="89" t="e">
        <f>Wall!W31</f>
        <v>#N/A</v>
      </c>
      <c r="U22" s="89" t="e">
        <f>Wall!X31</f>
        <v>#N/A</v>
      </c>
      <c r="V22" s="89" t="e">
        <f>Wall!Y31</f>
        <v>#N/A</v>
      </c>
      <c r="W22" s="89" t="e">
        <f>Wall!Z31</f>
        <v>#N/A</v>
      </c>
      <c r="X22" s="88" t="e">
        <f t="shared" si="1"/>
        <v>#N/A</v>
      </c>
      <c r="Y22" s="88" t="e">
        <f t="shared" si="2"/>
        <v>#N/A</v>
      </c>
      <c r="Z22" s="88" t="e">
        <f t="shared" si="3"/>
        <v>#N/A</v>
      </c>
      <c r="AA22" s="88" t="e">
        <f t="shared" si="4"/>
        <v>#N/A</v>
      </c>
      <c r="AB22" s="88" t="e">
        <f t="shared" si="5"/>
        <v>#N/A</v>
      </c>
      <c r="AC22" s="88" t="e">
        <f t="shared" si="6"/>
        <v>#N/A</v>
      </c>
      <c r="AD22" s="88" t="e">
        <f t="shared" si="7"/>
        <v>#N/A</v>
      </c>
      <c r="AE22" s="88" t="e">
        <f t="shared" si="8"/>
        <v>#N/A</v>
      </c>
      <c r="AF22" s="88" t="e">
        <f t="shared" si="9"/>
        <v>#N/A</v>
      </c>
      <c r="AG22" s="88" t="e">
        <f t="shared" si="10"/>
        <v>#N/A</v>
      </c>
      <c r="AH22" s="88" t="e">
        <f t="shared" si="11"/>
        <v>#N/A</v>
      </c>
      <c r="AI22" s="88" t="e">
        <f t="shared" si="12"/>
        <v>#N/A</v>
      </c>
      <c r="AJ22" s="88" t="e">
        <f t="shared" si="13"/>
        <v>#N/A</v>
      </c>
      <c r="AK22" s="88" t="e">
        <f t="shared" si="14"/>
        <v>#N/A</v>
      </c>
      <c r="AL22" s="88" t="e">
        <f t="shared" si="15"/>
        <v>#N/A</v>
      </c>
      <c r="AM22" s="88" t="e">
        <f t="shared" si="16"/>
        <v>#N/A</v>
      </c>
      <c r="AN22" s="88" t="e">
        <f t="shared" si="17"/>
        <v>#N/A</v>
      </c>
    </row>
    <row r="23" spans="1:40" x14ac:dyDescent="0.3">
      <c r="A23" s="24"/>
      <c r="B23" s="25" t="s">
        <v>60</v>
      </c>
      <c r="C23" s="26"/>
      <c r="D23" s="27"/>
      <c r="E23" s="89"/>
      <c r="F23" s="89"/>
      <c r="G23" s="35" t="e">
        <f>Roof!G8</f>
        <v>#N/A</v>
      </c>
      <c r="H23" s="87" t="e">
        <f>Roof!H8</f>
        <v>#N/A</v>
      </c>
      <c r="I23" s="87" t="e">
        <f>Roof!I8</f>
        <v>#N/A</v>
      </c>
      <c r="J23" s="87" t="e">
        <f>Roof!J8</f>
        <v>#N/A</v>
      </c>
      <c r="K23" s="87" t="e">
        <f>Roof!K8</f>
        <v>#N/A</v>
      </c>
      <c r="L23" s="87" t="e">
        <f>Roof!L8</f>
        <v>#N/A</v>
      </c>
      <c r="M23" s="87" t="e">
        <f>Roof!M8</f>
        <v>#N/A</v>
      </c>
      <c r="N23" s="87" t="e">
        <f>Roof!N8</f>
        <v>#N/A</v>
      </c>
      <c r="O23" s="87" t="e">
        <f>Roof!O8</f>
        <v>#N/A</v>
      </c>
      <c r="P23" s="87" t="e">
        <f>Roof!P8</f>
        <v>#N/A</v>
      </c>
      <c r="Q23" s="87" t="e">
        <f>Roof!Q8</f>
        <v>#N/A</v>
      </c>
      <c r="R23" s="87" t="e">
        <f>Roof!R8</f>
        <v>#N/A</v>
      </c>
      <c r="S23" s="87" t="e">
        <f>Roof!S8</f>
        <v>#N/A</v>
      </c>
      <c r="T23" s="87" t="e">
        <f>Roof!T8</f>
        <v>#N/A</v>
      </c>
      <c r="U23" s="87" t="e">
        <f>Roof!U8</f>
        <v>#N/A</v>
      </c>
      <c r="V23" s="87" t="e">
        <f>Roof!V8</f>
        <v>#N/A</v>
      </c>
      <c r="W23" s="87" t="e">
        <f>Roof!W8</f>
        <v>#N/A</v>
      </c>
      <c r="X23" s="88" t="e">
        <f t="shared" si="1"/>
        <v>#N/A</v>
      </c>
      <c r="Y23" s="88" t="e">
        <f t="shared" si="2"/>
        <v>#N/A</v>
      </c>
      <c r="Z23" s="88" t="e">
        <f t="shared" si="3"/>
        <v>#N/A</v>
      </c>
      <c r="AA23" s="88" t="e">
        <f t="shared" si="4"/>
        <v>#N/A</v>
      </c>
      <c r="AB23" s="88" t="e">
        <f t="shared" si="5"/>
        <v>#N/A</v>
      </c>
      <c r="AC23" s="88" t="e">
        <f t="shared" si="6"/>
        <v>#N/A</v>
      </c>
      <c r="AD23" s="88" t="e">
        <f t="shared" si="7"/>
        <v>#N/A</v>
      </c>
      <c r="AE23" s="88" t="e">
        <f t="shared" si="8"/>
        <v>#N/A</v>
      </c>
      <c r="AF23" s="88" t="e">
        <f t="shared" si="9"/>
        <v>#N/A</v>
      </c>
      <c r="AG23" s="88" t="e">
        <f t="shared" si="10"/>
        <v>#N/A</v>
      </c>
      <c r="AH23" s="88" t="e">
        <f t="shared" si="11"/>
        <v>#N/A</v>
      </c>
      <c r="AI23" s="88" t="e">
        <f t="shared" si="12"/>
        <v>#N/A</v>
      </c>
      <c r="AJ23" s="88" t="e">
        <f t="shared" si="13"/>
        <v>#N/A</v>
      </c>
      <c r="AK23" s="88" t="e">
        <f t="shared" si="14"/>
        <v>#N/A</v>
      </c>
      <c r="AL23" s="88" t="e">
        <f t="shared" si="15"/>
        <v>#N/A</v>
      </c>
      <c r="AM23" s="88" t="e">
        <f t="shared" si="16"/>
        <v>#N/A</v>
      </c>
      <c r="AN23" s="88" t="e">
        <f t="shared" si="17"/>
        <v>#N/A</v>
      </c>
    </row>
    <row r="24" spans="1:40" x14ac:dyDescent="0.3">
      <c r="A24" s="24"/>
      <c r="B24" s="25"/>
      <c r="C24" s="26"/>
      <c r="D24" s="32" t="s">
        <v>54</v>
      </c>
      <c r="E24" s="82" t="s">
        <v>31</v>
      </c>
      <c r="F24" s="32" t="s">
        <v>61</v>
      </c>
      <c r="G24" s="193" t="s">
        <v>62</v>
      </c>
      <c r="H24" s="194"/>
      <c r="I24" s="194"/>
      <c r="J24" s="194"/>
      <c r="K24" s="194"/>
      <c r="L24" s="194"/>
      <c r="M24" s="194"/>
      <c r="N24" s="194"/>
      <c r="O24" s="194"/>
      <c r="P24" s="194"/>
      <c r="Q24" s="194"/>
      <c r="R24" s="194"/>
      <c r="S24" s="194"/>
      <c r="T24" s="194"/>
      <c r="U24" s="194"/>
      <c r="V24" s="194"/>
      <c r="W24" s="195"/>
      <c r="X24" s="198" t="s">
        <v>63</v>
      </c>
      <c r="Y24" s="192"/>
      <c r="Z24" s="192"/>
      <c r="AA24" s="192"/>
      <c r="AB24" s="192"/>
      <c r="AC24" s="192"/>
      <c r="AD24" s="192"/>
      <c r="AE24" s="192"/>
      <c r="AF24" s="192"/>
      <c r="AG24" s="192"/>
      <c r="AH24" s="192"/>
      <c r="AI24" s="192"/>
      <c r="AJ24" s="193"/>
      <c r="AK24" s="193"/>
      <c r="AL24" s="193"/>
      <c r="AM24" s="193"/>
      <c r="AN24" s="199"/>
    </row>
    <row r="25" spans="1:40" x14ac:dyDescent="0.3">
      <c r="A25" s="24"/>
      <c r="B25" s="25" t="s">
        <v>64</v>
      </c>
      <c r="C25" s="26"/>
      <c r="D25" s="82"/>
      <c r="E25" s="82"/>
      <c r="F25" s="32">
        <f>$D$4</f>
        <v>26</v>
      </c>
      <c r="G25" s="32" t="e">
        <f>City_Details!N19</f>
        <v>#N/A</v>
      </c>
      <c r="H25" s="82" t="e">
        <f>City_Details!O19</f>
        <v>#N/A</v>
      </c>
      <c r="I25" s="82" t="e">
        <f>City_Details!P19</f>
        <v>#N/A</v>
      </c>
      <c r="J25" s="82" t="e">
        <f>City_Details!Q19</f>
        <v>#N/A</v>
      </c>
      <c r="K25" s="82" t="e">
        <f>City_Details!R19</f>
        <v>#N/A</v>
      </c>
      <c r="L25" s="82" t="e">
        <f>City_Details!S19</f>
        <v>#N/A</v>
      </c>
      <c r="M25" s="82" t="e">
        <f>City_Details!T19</f>
        <v>#N/A</v>
      </c>
      <c r="N25" s="82" t="e">
        <f>City_Details!U19</f>
        <v>#N/A</v>
      </c>
      <c r="O25" s="82" t="e">
        <f>City_Details!V19</f>
        <v>#N/A</v>
      </c>
      <c r="P25" s="82" t="e">
        <f>City_Details!W19</f>
        <v>#N/A</v>
      </c>
      <c r="Q25" s="82" t="e">
        <f>City_Details!X19</f>
        <v>#N/A</v>
      </c>
      <c r="R25" s="82" t="e">
        <f>City_Details!Y19</f>
        <v>#N/A</v>
      </c>
      <c r="S25" s="82" t="e">
        <f>City_Details!Z19</f>
        <v>#N/A</v>
      </c>
      <c r="T25" s="82" t="e">
        <f>City_Details!AA19</f>
        <v>#N/A</v>
      </c>
      <c r="U25" s="82" t="e">
        <f>City_Details!AB19</f>
        <v>#N/A</v>
      </c>
      <c r="V25" s="82" t="e">
        <f>City_Details!AC19</f>
        <v>#N/A</v>
      </c>
      <c r="W25" s="82" t="e">
        <f>City_Details!AD19</f>
        <v>#N/A</v>
      </c>
      <c r="X25" s="34" t="e">
        <f>$D$25*$E$25*(G25-$F$25)</f>
        <v>#N/A</v>
      </c>
      <c r="Y25" s="88" t="e">
        <f t="shared" ref="Y25:AN25" si="18">$D$25*$E$25*(H25-$F$25)</f>
        <v>#N/A</v>
      </c>
      <c r="Z25" s="88" t="e">
        <f t="shared" si="18"/>
        <v>#N/A</v>
      </c>
      <c r="AA25" s="88" t="e">
        <f t="shared" si="18"/>
        <v>#N/A</v>
      </c>
      <c r="AB25" s="88" t="e">
        <f t="shared" si="18"/>
        <v>#N/A</v>
      </c>
      <c r="AC25" s="88" t="e">
        <f t="shared" si="18"/>
        <v>#N/A</v>
      </c>
      <c r="AD25" s="88" t="e">
        <f t="shared" si="18"/>
        <v>#N/A</v>
      </c>
      <c r="AE25" s="88" t="e">
        <f t="shared" si="18"/>
        <v>#N/A</v>
      </c>
      <c r="AF25" s="88" t="e">
        <f t="shared" si="18"/>
        <v>#N/A</v>
      </c>
      <c r="AG25" s="88" t="e">
        <f t="shared" si="18"/>
        <v>#N/A</v>
      </c>
      <c r="AH25" s="88" t="e">
        <f t="shared" si="18"/>
        <v>#N/A</v>
      </c>
      <c r="AI25" s="88" t="e">
        <f t="shared" si="18"/>
        <v>#N/A</v>
      </c>
      <c r="AJ25" s="88" t="e">
        <f t="shared" si="18"/>
        <v>#N/A</v>
      </c>
      <c r="AK25" s="88" t="e">
        <f t="shared" si="18"/>
        <v>#N/A</v>
      </c>
      <c r="AL25" s="88" t="e">
        <f t="shared" si="18"/>
        <v>#N/A</v>
      </c>
      <c r="AM25" s="88" t="e">
        <f t="shared" si="18"/>
        <v>#N/A</v>
      </c>
      <c r="AN25" s="88" t="e">
        <f t="shared" si="18"/>
        <v>#N/A</v>
      </c>
    </row>
    <row r="26" spans="1:40" x14ac:dyDescent="0.3">
      <c r="A26" s="24"/>
      <c r="B26" s="25" t="s">
        <v>65</v>
      </c>
      <c r="C26" s="26"/>
      <c r="D26" s="102"/>
      <c r="E26" s="82"/>
      <c r="F26" s="33">
        <f>$D$4</f>
        <v>26</v>
      </c>
      <c r="G26" s="35" t="e">
        <f>G25</f>
        <v>#N/A</v>
      </c>
      <c r="H26" s="83" t="e">
        <f t="shared" ref="H26:W26" si="19">H25</f>
        <v>#N/A</v>
      </c>
      <c r="I26" s="83" t="e">
        <f t="shared" si="19"/>
        <v>#N/A</v>
      </c>
      <c r="J26" s="83" t="e">
        <f t="shared" si="19"/>
        <v>#N/A</v>
      </c>
      <c r="K26" s="83" t="e">
        <f t="shared" si="19"/>
        <v>#N/A</v>
      </c>
      <c r="L26" s="83" t="e">
        <f t="shared" si="19"/>
        <v>#N/A</v>
      </c>
      <c r="M26" s="83" t="e">
        <f t="shared" si="19"/>
        <v>#N/A</v>
      </c>
      <c r="N26" s="83" t="e">
        <f t="shared" si="19"/>
        <v>#N/A</v>
      </c>
      <c r="O26" s="83" t="e">
        <f t="shared" si="19"/>
        <v>#N/A</v>
      </c>
      <c r="P26" s="83" t="e">
        <f t="shared" si="19"/>
        <v>#N/A</v>
      </c>
      <c r="Q26" s="83" t="e">
        <f t="shared" si="19"/>
        <v>#N/A</v>
      </c>
      <c r="R26" s="83" t="e">
        <f t="shared" si="19"/>
        <v>#N/A</v>
      </c>
      <c r="S26" s="83" t="e">
        <f t="shared" si="19"/>
        <v>#N/A</v>
      </c>
      <c r="T26" s="83" t="e">
        <f t="shared" si="19"/>
        <v>#N/A</v>
      </c>
      <c r="U26" s="83" t="e">
        <f t="shared" si="19"/>
        <v>#N/A</v>
      </c>
      <c r="V26" s="83" t="e">
        <f t="shared" si="19"/>
        <v>#N/A</v>
      </c>
      <c r="W26" s="83" t="e">
        <f t="shared" si="19"/>
        <v>#N/A</v>
      </c>
      <c r="X26" s="88" t="e">
        <f>$D$26*$E$26*(G26-$F$26)</f>
        <v>#N/A</v>
      </c>
      <c r="Y26" s="88" t="e">
        <f t="shared" ref="Y26:AN26" si="20">$D$26*$E$26*(H26-$F$26)</f>
        <v>#N/A</v>
      </c>
      <c r="Z26" s="88" t="e">
        <f t="shared" si="20"/>
        <v>#N/A</v>
      </c>
      <c r="AA26" s="88" t="e">
        <f t="shared" si="20"/>
        <v>#N/A</v>
      </c>
      <c r="AB26" s="88" t="e">
        <f t="shared" si="20"/>
        <v>#N/A</v>
      </c>
      <c r="AC26" s="88" t="e">
        <f t="shared" si="20"/>
        <v>#N/A</v>
      </c>
      <c r="AD26" s="88" t="e">
        <f t="shared" si="20"/>
        <v>#N/A</v>
      </c>
      <c r="AE26" s="88" t="e">
        <f t="shared" si="20"/>
        <v>#N/A</v>
      </c>
      <c r="AF26" s="88" t="e">
        <f t="shared" si="20"/>
        <v>#N/A</v>
      </c>
      <c r="AG26" s="88" t="e">
        <f t="shared" si="20"/>
        <v>#N/A</v>
      </c>
      <c r="AH26" s="88" t="e">
        <f t="shared" si="20"/>
        <v>#N/A</v>
      </c>
      <c r="AI26" s="88" t="e">
        <f t="shared" si="20"/>
        <v>#N/A</v>
      </c>
      <c r="AJ26" s="88" t="e">
        <f t="shared" si="20"/>
        <v>#N/A</v>
      </c>
      <c r="AK26" s="88" t="e">
        <f t="shared" si="20"/>
        <v>#N/A</v>
      </c>
      <c r="AL26" s="88" t="e">
        <f t="shared" si="20"/>
        <v>#N/A</v>
      </c>
      <c r="AM26" s="88" t="e">
        <f t="shared" si="20"/>
        <v>#N/A</v>
      </c>
      <c r="AN26" s="88" t="e">
        <f t="shared" si="20"/>
        <v>#N/A</v>
      </c>
    </row>
    <row r="27" spans="1:40" x14ac:dyDescent="0.3">
      <c r="A27" s="24"/>
      <c r="B27" s="25"/>
      <c r="C27" s="26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37"/>
      <c r="T27" s="37"/>
      <c r="U27" s="37"/>
      <c r="V27" s="27"/>
      <c r="W27" s="31"/>
      <c r="X27" s="26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37"/>
      <c r="AK27" s="37"/>
      <c r="AL27" s="37"/>
      <c r="AM27" s="37"/>
      <c r="AN27" s="30"/>
    </row>
    <row r="28" spans="1:40" x14ac:dyDescent="0.3">
      <c r="A28" s="28" t="s">
        <v>66</v>
      </c>
      <c r="B28" s="29" t="s">
        <v>67</v>
      </c>
      <c r="C28" s="26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5"/>
      <c r="T28" s="35"/>
      <c r="U28" s="35"/>
      <c r="V28" s="32"/>
      <c r="W28" s="38"/>
      <c r="X28" s="34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5"/>
      <c r="AK28" s="35"/>
      <c r="AL28" s="35"/>
      <c r="AM28" s="35"/>
      <c r="AN28" s="36"/>
    </row>
    <row r="29" spans="1:40" x14ac:dyDescent="0.3">
      <c r="A29" s="24"/>
      <c r="B29" s="25"/>
      <c r="C29" s="26"/>
      <c r="D29" s="32" t="s">
        <v>54</v>
      </c>
      <c r="E29" s="32" t="s">
        <v>31</v>
      </c>
      <c r="F29" s="32" t="s">
        <v>61</v>
      </c>
      <c r="G29" s="193" t="s">
        <v>62</v>
      </c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4"/>
      <c r="T29" s="194"/>
      <c r="U29" s="194"/>
      <c r="V29" s="194"/>
      <c r="W29" s="195"/>
      <c r="X29" s="198" t="s">
        <v>63</v>
      </c>
      <c r="Y29" s="192"/>
      <c r="Z29" s="192"/>
      <c r="AA29" s="192"/>
      <c r="AB29" s="192"/>
      <c r="AC29" s="192"/>
      <c r="AD29" s="192"/>
      <c r="AE29" s="192"/>
      <c r="AF29" s="192"/>
      <c r="AG29" s="192"/>
      <c r="AH29" s="192"/>
      <c r="AI29" s="192"/>
      <c r="AJ29" s="193"/>
      <c r="AK29" s="193"/>
      <c r="AL29" s="193"/>
      <c r="AM29" s="193"/>
      <c r="AN29" s="199"/>
    </row>
    <row r="30" spans="1:40" x14ac:dyDescent="0.3">
      <c r="A30" s="24"/>
      <c r="B30" s="25" t="s">
        <v>68</v>
      </c>
      <c r="C30" s="26"/>
      <c r="D30" s="32"/>
      <c r="E30" s="32"/>
      <c r="F30" s="33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5"/>
      <c r="T30" s="35"/>
      <c r="U30" s="35"/>
      <c r="V30" s="32"/>
      <c r="W30" s="38"/>
      <c r="X30" s="34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5"/>
      <c r="AK30" s="35"/>
      <c r="AL30" s="35"/>
      <c r="AM30" s="35"/>
      <c r="AN30" s="36"/>
    </row>
    <row r="31" spans="1:40" x14ac:dyDescent="0.3">
      <c r="A31" s="24"/>
      <c r="B31" s="25" t="s">
        <v>69</v>
      </c>
      <c r="C31" s="26"/>
      <c r="D31" s="32"/>
      <c r="E31" s="82"/>
      <c r="F31" s="33">
        <f>$D$4</f>
        <v>26</v>
      </c>
      <c r="G31" s="35" t="e">
        <f>G25</f>
        <v>#N/A</v>
      </c>
      <c r="H31" s="83" t="e">
        <f t="shared" ref="H31:W31" si="21">H25</f>
        <v>#N/A</v>
      </c>
      <c r="I31" s="83" t="e">
        <f t="shared" si="21"/>
        <v>#N/A</v>
      </c>
      <c r="J31" s="83" t="e">
        <f t="shared" si="21"/>
        <v>#N/A</v>
      </c>
      <c r="K31" s="83" t="e">
        <f t="shared" si="21"/>
        <v>#N/A</v>
      </c>
      <c r="L31" s="83" t="e">
        <f t="shared" si="21"/>
        <v>#N/A</v>
      </c>
      <c r="M31" s="83" t="e">
        <f t="shared" si="21"/>
        <v>#N/A</v>
      </c>
      <c r="N31" s="83" t="e">
        <f t="shared" si="21"/>
        <v>#N/A</v>
      </c>
      <c r="O31" s="83" t="e">
        <f t="shared" si="21"/>
        <v>#N/A</v>
      </c>
      <c r="P31" s="83" t="e">
        <f t="shared" si="21"/>
        <v>#N/A</v>
      </c>
      <c r="Q31" s="83" t="e">
        <f t="shared" si="21"/>
        <v>#N/A</v>
      </c>
      <c r="R31" s="83" t="e">
        <f t="shared" si="21"/>
        <v>#N/A</v>
      </c>
      <c r="S31" s="83" t="e">
        <f t="shared" si="21"/>
        <v>#N/A</v>
      </c>
      <c r="T31" s="83" t="e">
        <f t="shared" si="21"/>
        <v>#N/A</v>
      </c>
      <c r="U31" s="83" t="e">
        <f t="shared" si="21"/>
        <v>#N/A</v>
      </c>
      <c r="V31" s="83" t="e">
        <f t="shared" si="21"/>
        <v>#N/A</v>
      </c>
      <c r="W31" s="83" t="e">
        <f t="shared" si="21"/>
        <v>#N/A</v>
      </c>
      <c r="X31" s="34" t="e">
        <f>$D$31*$E$31*(G31-$F$31)</f>
        <v>#N/A</v>
      </c>
      <c r="Y31" s="88" t="e">
        <f t="shared" ref="Y31:AN31" si="22">$D$31*$E$31*(H31-$F$31)</f>
        <v>#N/A</v>
      </c>
      <c r="Z31" s="88" t="e">
        <f t="shared" si="22"/>
        <v>#N/A</v>
      </c>
      <c r="AA31" s="88" t="e">
        <f t="shared" si="22"/>
        <v>#N/A</v>
      </c>
      <c r="AB31" s="88" t="e">
        <f t="shared" si="22"/>
        <v>#N/A</v>
      </c>
      <c r="AC31" s="88" t="e">
        <f t="shared" si="22"/>
        <v>#N/A</v>
      </c>
      <c r="AD31" s="88" t="e">
        <f t="shared" si="22"/>
        <v>#N/A</v>
      </c>
      <c r="AE31" s="88" t="e">
        <f t="shared" si="22"/>
        <v>#N/A</v>
      </c>
      <c r="AF31" s="88" t="e">
        <f t="shared" si="22"/>
        <v>#N/A</v>
      </c>
      <c r="AG31" s="88" t="e">
        <f t="shared" si="22"/>
        <v>#N/A</v>
      </c>
      <c r="AH31" s="88" t="e">
        <f t="shared" si="22"/>
        <v>#N/A</v>
      </c>
      <c r="AI31" s="88" t="e">
        <f t="shared" si="22"/>
        <v>#N/A</v>
      </c>
      <c r="AJ31" s="88" t="e">
        <f t="shared" si="22"/>
        <v>#N/A</v>
      </c>
      <c r="AK31" s="88" t="e">
        <f t="shared" si="22"/>
        <v>#N/A</v>
      </c>
      <c r="AL31" s="88" t="e">
        <f t="shared" si="22"/>
        <v>#N/A</v>
      </c>
      <c r="AM31" s="88" t="e">
        <f t="shared" si="22"/>
        <v>#N/A</v>
      </c>
      <c r="AN31" s="88" t="e">
        <f t="shared" si="22"/>
        <v>#N/A</v>
      </c>
    </row>
    <row r="32" spans="1:40" x14ac:dyDescent="0.3">
      <c r="A32" s="24"/>
      <c r="B32" s="25"/>
      <c r="C32" s="26"/>
      <c r="D32" s="32"/>
      <c r="E32" s="32"/>
      <c r="F32" s="32"/>
      <c r="G32" s="35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4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5"/>
      <c r="AK32" s="35"/>
      <c r="AL32" s="35"/>
      <c r="AM32" s="35"/>
      <c r="AN32" s="36"/>
    </row>
    <row r="33" spans="1:40" x14ac:dyDescent="0.3">
      <c r="A33" s="24"/>
      <c r="B33" s="25"/>
      <c r="C33" s="26"/>
      <c r="D33" s="32" t="s">
        <v>192</v>
      </c>
      <c r="E33" s="32" t="s">
        <v>189</v>
      </c>
      <c r="F33" s="32" t="s">
        <v>70</v>
      </c>
      <c r="G33" s="193" t="s">
        <v>79</v>
      </c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5"/>
      <c r="X33" s="198" t="s">
        <v>213</v>
      </c>
      <c r="Y33" s="192"/>
      <c r="Z33" s="192"/>
      <c r="AA33" s="192"/>
      <c r="AB33" s="192"/>
      <c r="AC33" s="192"/>
      <c r="AD33" s="192"/>
      <c r="AE33" s="192"/>
      <c r="AF33" s="192"/>
      <c r="AG33" s="192"/>
      <c r="AH33" s="192"/>
      <c r="AI33" s="192"/>
      <c r="AJ33" s="193"/>
      <c r="AK33" s="193"/>
      <c r="AL33" s="193"/>
      <c r="AM33" s="193"/>
      <c r="AN33" s="199"/>
    </row>
    <row r="34" spans="1:40" x14ac:dyDescent="0.3">
      <c r="A34" s="24"/>
      <c r="B34" s="25" t="s">
        <v>71</v>
      </c>
      <c r="C34" s="26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5"/>
      <c r="T34" s="35"/>
      <c r="U34" s="35"/>
      <c r="V34" s="32"/>
      <c r="W34" s="38"/>
      <c r="X34" s="34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5"/>
      <c r="AK34" s="35"/>
      <c r="AL34" s="35"/>
      <c r="AM34" s="35"/>
      <c r="AN34" s="36"/>
    </row>
    <row r="35" spans="1:40" x14ac:dyDescent="0.3">
      <c r="A35" s="24"/>
      <c r="B35" s="25" t="s">
        <v>120</v>
      </c>
      <c r="C35" s="26"/>
      <c r="D35" s="32"/>
      <c r="E35" s="32" t="e">
        <f>Window!G14</f>
        <v>#N/A</v>
      </c>
      <c r="F35" s="32"/>
      <c r="G35" s="32">
        <f>Window!G2</f>
        <v>0.34</v>
      </c>
      <c r="H35" s="82">
        <f>Window!H2</f>
        <v>0.41</v>
      </c>
      <c r="I35" s="82">
        <f>Window!I2</f>
        <v>0.46</v>
      </c>
      <c r="J35" s="82">
        <f>Window!J2</f>
        <v>0.53</v>
      </c>
      <c r="K35" s="82">
        <f>Window!K2</f>
        <v>0.59</v>
      </c>
      <c r="L35" s="82">
        <f>Window!L2</f>
        <v>0.65</v>
      </c>
      <c r="M35" s="82">
        <f>Window!M2</f>
        <v>0.70000000000000007</v>
      </c>
      <c r="N35" s="82">
        <f>Window!N2</f>
        <v>0.74</v>
      </c>
      <c r="O35" s="82">
        <f>Window!O2</f>
        <v>0.75</v>
      </c>
      <c r="P35" s="82">
        <f>Window!P2</f>
        <v>0.76</v>
      </c>
      <c r="Q35" s="82">
        <f>Window!Q2</f>
        <v>0.74</v>
      </c>
      <c r="R35" s="82">
        <f>Window!R2</f>
        <v>0.75</v>
      </c>
      <c r="S35" s="82">
        <f>Window!S2</f>
        <v>0.79</v>
      </c>
      <c r="T35" s="82">
        <f>Window!T2</f>
        <v>0.61</v>
      </c>
      <c r="U35" s="82">
        <f>Window!U2</f>
        <v>0.5</v>
      </c>
      <c r="V35" s="82">
        <f>Window!V2</f>
        <v>0.42</v>
      </c>
      <c r="W35" s="82">
        <f>Window!W2</f>
        <v>0.36</v>
      </c>
      <c r="X35" s="34" t="e">
        <f>0.293071*$D35*$E35*$F35*G35</f>
        <v>#N/A</v>
      </c>
      <c r="Y35" s="84" t="e">
        <f t="shared" ref="Y35:AN35" si="23">0.293071*$D35*$E35*$F35*H35</f>
        <v>#N/A</v>
      </c>
      <c r="Z35" s="84" t="e">
        <f t="shared" si="23"/>
        <v>#N/A</v>
      </c>
      <c r="AA35" s="84" t="e">
        <f t="shared" si="23"/>
        <v>#N/A</v>
      </c>
      <c r="AB35" s="84" t="e">
        <f t="shared" si="23"/>
        <v>#N/A</v>
      </c>
      <c r="AC35" s="84" t="e">
        <f t="shared" si="23"/>
        <v>#N/A</v>
      </c>
      <c r="AD35" s="84" t="e">
        <f t="shared" si="23"/>
        <v>#N/A</v>
      </c>
      <c r="AE35" s="84" t="e">
        <f t="shared" si="23"/>
        <v>#N/A</v>
      </c>
      <c r="AF35" s="84" t="e">
        <f t="shared" si="23"/>
        <v>#N/A</v>
      </c>
      <c r="AG35" s="84" t="e">
        <f t="shared" si="23"/>
        <v>#N/A</v>
      </c>
      <c r="AH35" s="84" t="e">
        <f t="shared" si="23"/>
        <v>#N/A</v>
      </c>
      <c r="AI35" s="84" t="e">
        <f t="shared" si="23"/>
        <v>#N/A</v>
      </c>
      <c r="AJ35" s="84" t="e">
        <f t="shared" si="23"/>
        <v>#N/A</v>
      </c>
      <c r="AK35" s="84" t="e">
        <f t="shared" si="23"/>
        <v>#N/A</v>
      </c>
      <c r="AL35" s="84" t="e">
        <f t="shared" si="23"/>
        <v>#N/A</v>
      </c>
      <c r="AM35" s="84" t="e">
        <f t="shared" si="23"/>
        <v>#N/A</v>
      </c>
      <c r="AN35" s="84" t="e">
        <f t="shared" si="23"/>
        <v>#N/A</v>
      </c>
    </row>
    <row r="36" spans="1:40" x14ac:dyDescent="0.3">
      <c r="A36" s="24"/>
      <c r="B36" s="25" t="s">
        <v>121</v>
      </c>
      <c r="C36" s="26"/>
      <c r="D36" s="82"/>
      <c r="E36" s="82" t="e">
        <f>Window!G15</f>
        <v>#N/A</v>
      </c>
      <c r="F36" s="60"/>
      <c r="G36" s="82">
        <f>Window!G3</f>
        <v>0.21</v>
      </c>
      <c r="H36" s="82">
        <f>Window!H3</f>
        <v>0.36</v>
      </c>
      <c r="I36" s="82">
        <f>Window!I3</f>
        <v>0.44</v>
      </c>
      <c r="J36" s="82">
        <f>Window!J3</f>
        <v>0.45</v>
      </c>
      <c r="K36" s="82">
        <f>Window!K3</f>
        <v>0.4</v>
      </c>
      <c r="L36" s="82">
        <f>Window!L3</f>
        <v>0.36</v>
      </c>
      <c r="M36" s="82">
        <f>Window!M3</f>
        <v>0.33</v>
      </c>
      <c r="N36" s="82">
        <f>Window!N3</f>
        <v>0.31</v>
      </c>
      <c r="O36" s="82">
        <f>Window!O3</f>
        <v>0.3</v>
      </c>
      <c r="P36" s="82">
        <f>Window!P3</f>
        <v>0.28000000000000003</v>
      </c>
      <c r="Q36" s="82">
        <f>Window!Q3</f>
        <v>0.26</v>
      </c>
      <c r="R36" s="82">
        <f>Window!R3</f>
        <v>0.24</v>
      </c>
      <c r="S36" s="82">
        <f>Window!S3</f>
        <v>0.21</v>
      </c>
      <c r="T36" s="82">
        <f>Window!T3</f>
        <v>0.17</v>
      </c>
      <c r="U36" s="82">
        <f>Window!U3</f>
        <v>0.15</v>
      </c>
      <c r="V36" s="82">
        <f>Window!V3</f>
        <v>0.13</v>
      </c>
      <c r="W36" s="82">
        <f>Window!W3</f>
        <v>0.11</v>
      </c>
      <c r="X36" s="84" t="e">
        <f t="shared" ref="X36:X42" si="24">0.293071*$D36*$E36*$F36*G36</f>
        <v>#N/A</v>
      </c>
      <c r="Y36" s="84" t="e">
        <f t="shared" ref="Y36:Y42" si="25">0.293071*$D36*$E36*$F36*H36</f>
        <v>#N/A</v>
      </c>
      <c r="Z36" s="84" t="e">
        <f t="shared" ref="Z36:Z42" si="26">0.293071*$D36*$E36*$F36*I36</f>
        <v>#N/A</v>
      </c>
      <c r="AA36" s="84" t="e">
        <f t="shared" ref="AA36:AA42" si="27">0.293071*$D36*$E36*$F36*J36</f>
        <v>#N/A</v>
      </c>
      <c r="AB36" s="84" t="e">
        <f t="shared" ref="AB36:AB42" si="28">0.293071*$D36*$E36*$F36*K36</f>
        <v>#N/A</v>
      </c>
      <c r="AC36" s="84" t="e">
        <f t="shared" ref="AC36:AC42" si="29">0.293071*$D36*$E36*$F36*L36</f>
        <v>#N/A</v>
      </c>
      <c r="AD36" s="84" t="e">
        <f t="shared" ref="AD36:AD42" si="30">0.293071*$D36*$E36*$F36*M36</f>
        <v>#N/A</v>
      </c>
      <c r="AE36" s="84" t="e">
        <f t="shared" ref="AE36:AE42" si="31">0.293071*$D36*$E36*$F36*N36</f>
        <v>#N/A</v>
      </c>
      <c r="AF36" s="84" t="e">
        <f t="shared" ref="AF36:AF42" si="32">0.293071*$D36*$E36*$F36*O36</f>
        <v>#N/A</v>
      </c>
      <c r="AG36" s="84" t="e">
        <f t="shared" ref="AG36:AG42" si="33">0.293071*$D36*$E36*$F36*P36</f>
        <v>#N/A</v>
      </c>
      <c r="AH36" s="84" t="e">
        <f t="shared" ref="AH36:AH42" si="34">0.293071*$D36*$E36*$F36*Q36</f>
        <v>#N/A</v>
      </c>
      <c r="AI36" s="84" t="e">
        <f t="shared" ref="AI36:AI42" si="35">0.293071*$D36*$E36*$F36*R36</f>
        <v>#N/A</v>
      </c>
      <c r="AJ36" s="84" t="e">
        <f t="shared" ref="AJ36:AJ42" si="36">0.293071*$D36*$E36*$F36*S36</f>
        <v>#N/A</v>
      </c>
      <c r="AK36" s="84" t="e">
        <f t="shared" ref="AK36:AK42" si="37">0.293071*$D36*$E36*$F36*T36</f>
        <v>#N/A</v>
      </c>
      <c r="AL36" s="84" t="e">
        <f t="shared" ref="AL36:AL42" si="38">0.293071*$D36*$E36*$F36*U36</f>
        <v>#N/A</v>
      </c>
      <c r="AM36" s="84" t="e">
        <f t="shared" ref="AM36:AM42" si="39">0.293071*$D36*$E36*$F36*V36</f>
        <v>#N/A</v>
      </c>
      <c r="AN36" s="84" t="e">
        <f t="shared" ref="AN36:AN42" si="40">0.293071*$D36*$E36*$F36*W36</f>
        <v>#N/A</v>
      </c>
    </row>
    <row r="37" spans="1:40" x14ac:dyDescent="0.3">
      <c r="A37" s="24"/>
      <c r="B37" s="25" t="s">
        <v>122</v>
      </c>
      <c r="C37" s="26"/>
      <c r="D37" s="82"/>
      <c r="E37" s="82" t="e">
        <f>Window!G16</f>
        <v>#N/A</v>
      </c>
      <c r="F37" s="60"/>
      <c r="G37" s="82">
        <f>Window!G4</f>
        <v>0.18</v>
      </c>
      <c r="H37" s="82">
        <f>Window!H4</f>
        <v>0.33</v>
      </c>
      <c r="I37" s="82">
        <f>Window!I4</f>
        <v>0.44</v>
      </c>
      <c r="J37" s="82">
        <f>Window!J4</f>
        <v>0.5</v>
      </c>
      <c r="K37" s="82">
        <f>Window!K4</f>
        <v>0.51</v>
      </c>
      <c r="L37" s="82">
        <f>Window!L4</f>
        <v>0.46</v>
      </c>
      <c r="M37" s="82">
        <f>Window!M4</f>
        <v>0.39</v>
      </c>
      <c r="N37" s="82">
        <f>Window!N4</f>
        <v>0.35000000000000003</v>
      </c>
      <c r="O37" s="82">
        <f>Window!O4</f>
        <v>0.31</v>
      </c>
      <c r="P37" s="82">
        <f>Window!P4</f>
        <v>0.28999999999999998</v>
      </c>
      <c r="Q37" s="82">
        <f>Window!Q4</f>
        <v>0.26</v>
      </c>
      <c r="R37" s="82">
        <f>Window!R4</f>
        <v>0.23</v>
      </c>
      <c r="S37" s="82">
        <f>Window!S4</f>
        <v>0.21</v>
      </c>
      <c r="T37" s="82">
        <f>Window!T4</f>
        <v>0.17</v>
      </c>
      <c r="U37" s="82">
        <f>Window!U4</f>
        <v>0.15</v>
      </c>
      <c r="V37" s="82">
        <f>Window!V4</f>
        <v>0.13</v>
      </c>
      <c r="W37" s="82">
        <f>Window!W4</f>
        <v>0.11</v>
      </c>
      <c r="X37" s="84" t="e">
        <f t="shared" si="24"/>
        <v>#N/A</v>
      </c>
      <c r="Y37" s="84" t="e">
        <f t="shared" si="25"/>
        <v>#N/A</v>
      </c>
      <c r="Z37" s="84" t="e">
        <f t="shared" si="26"/>
        <v>#N/A</v>
      </c>
      <c r="AA37" s="84" t="e">
        <f t="shared" si="27"/>
        <v>#N/A</v>
      </c>
      <c r="AB37" s="84" t="e">
        <f t="shared" si="28"/>
        <v>#N/A</v>
      </c>
      <c r="AC37" s="84" t="e">
        <f t="shared" si="29"/>
        <v>#N/A</v>
      </c>
      <c r="AD37" s="84" t="e">
        <f t="shared" si="30"/>
        <v>#N/A</v>
      </c>
      <c r="AE37" s="84" t="e">
        <f t="shared" si="31"/>
        <v>#N/A</v>
      </c>
      <c r="AF37" s="84" t="e">
        <f t="shared" si="32"/>
        <v>#N/A</v>
      </c>
      <c r="AG37" s="84" t="e">
        <f t="shared" si="33"/>
        <v>#N/A</v>
      </c>
      <c r="AH37" s="84" t="e">
        <f t="shared" si="34"/>
        <v>#N/A</v>
      </c>
      <c r="AI37" s="84" t="e">
        <f t="shared" si="35"/>
        <v>#N/A</v>
      </c>
      <c r="AJ37" s="84" t="e">
        <f t="shared" si="36"/>
        <v>#N/A</v>
      </c>
      <c r="AK37" s="84" t="e">
        <f t="shared" si="37"/>
        <v>#N/A</v>
      </c>
      <c r="AL37" s="84" t="e">
        <f t="shared" si="38"/>
        <v>#N/A</v>
      </c>
      <c r="AM37" s="84" t="e">
        <f t="shared" si="39"/>
        <v>#N/A</v>
      </c>
      <c r="AN37" s="84" t="e">
        <f t="shared" si="40"/>
        <v>#N/A</v>
      </c>
    </row>
    <row r="38" spans="1:40" x14ac:dyDescent="0.3">
      <c r="A38" s="24"/>
      <c r="B38" s="25" t="s">
        <v>123</v>
      </c>
      <c r="C38" s="26"/>
      <c r="D38" s="82"/>
      <c r="E38" s="82" t="e">
        <f>Window!G17</f>
        <v>#N/A</v>
      </c>
      <c r="F38" s="60"/>
      <c r="G38" s="82">
        <f>Window!G5</f>
        <v>0.14000000000000001</v>
      </c>
      <c r="H38" s="82">
        <f>Window!H5</f>
        <v>0.26</v>
      </c>
      <c r="I38" s="82">
        <f>Window!I5</f>
        <v>0.38</v>
      </c>
      <c r="J38" s="82">
        <f>Window!J5</f>
        <v>0.48</v>
      </c>
      <c r="K38" s="82">
        <f>Window!K5</f>
        <v>0.54</v>
      </c>
      <c r="L38" s="82">
        <f>Window!L5</f>
        <v>0.56000000000000005</v>
      </c>
      <c r="M38" s="82">
        <f>Window!M5</f>
        <v>0.51</v>
      </c>
      <c r="N38" s="82">
        <f>Window!N5</f>
        <v>0.45</v>
      </c>
      <c r="O38" s="82">
        <f>Window!O5</f>
        <v>0.4</v>
      </c>
      <c r="P38" s="82">
        <f>Window!P5</f>
        <v>0.36</v>
      </c>
      <c r="Q38" s="82">
        <f>Window!Q5</f>
        <v>0.33</v>
      </c>
      <c r="R38" s="82">
        <f>Window!R5</f>
        <v>0.28999999999999998</v>
      </c>
      <c r="S38" s="82">
        <f>Window!S5</f>
        <v>0.25</v>
      </c>
      <c r="T38" s="82">
        <f>Window!T5</f>
        <v>0.21</v>
      </c>
      <c r="U38" s="82">
        <f>Window!U5</f>
        <v>0.18</v>
      </c>
      <c r="V38" s="82">
        <f>Window!V5</f>
        <v>0.16</v>
      </c>
      <c r="W38" s="82">
        <f>Window!W5</f>
        <v>0.14000000000000001</v>
      </c>
      <c r="X38" s="84" t="e">
        <f t="shared" si="24"/>
        <v>#N/A</v>
      </c>
      <c r="Y38" s="84" t="e">
        <f t="shared" si="25"/>
        <v>#N/A</v>
      </c>
      <c r="Z38" s="84" t="e">
        <f t="shared" si="26"/>
        <v>#N/A</v>
      </c>
      <c r="AA38" s="84" t="e">
        <f t="shared" si="27"/>
        <v>#N/A</v>
      </c>
      <c r="AB38" s="84" t="e">
        <f t="shared" si="28"/>
        <v>#N/A</v>
      </c>
      <c r="AC38" s="84" t="e">
        <f t="shared" si="29"/>
        <v>#N/A</v>
      </c>
      <c r="AD38" s="84" t="e">
        <f t="shared" si="30"/>
        <v>#N/A</v>
      </c>
      <c r="AE38" s="84" t="e">
        <f t="shared" si="31"/>
        <v>#N/A</v>
      </c>
      <c r="AF38" s="84" t="e">
        <f t="shared" si="32"/>
        <v>#N/A</v>
      </c>
      <c r="AG38" s="84" t="e">
        <f t="shared" si="33"/>
        <v>#N/A</v>
      </c>
      <c r="AH38" s="84" t="e">
        <f t="shared" si="34"/>
        <v>#N/A</v>
      </c>
      <c r="AI38" s="84" t="e">
        <f t="shared" si="35"/>
        <v>#N/A</v>
      </c>
      <c r="AJ38" s="84" t="e">
        <f t="shared" si="36"/>
        <v>#N/A</v>
      </c>
      <c r="AK38" s="84" t="e">
        <f t="shared" si="37"/>
        <v>#N/A</v>
      </c>
      <c r="AL38" s="84" t="e">
        <f t="shared" si="38"/>
        <v>#N/A</v>
      </c>
      <c r="AM38" s="84" t="e">
        <f t="shared" si="39"/>
        <v>#N/A</v>
      </c>
      <c r="AN38" s="84" t="e">
        <f t="shared" si="40"/>
        <v>#N/A</v>
      </c>
    </row>
    <row r="39" spans="1:40" x14ac:dyDescent="0.3">
      <c r="A39" s="24"/>
      <c r="B39" s="25" t="s">
        <v>124</v>
      </c>
      <c r="C39" s="26"/>
      <c r="D39" s="82"/>
      <c r="E39" s="82" t="e">
        <f>Window!G18</f>
        <v>#N/A</v>
      </c>
      <c r="F39" s="60"/>
      <c r="G39" s="82">
        <f>Window!G6</f>
        <v>0.08</v>
      </c>
      <c r="H39" s="82">
        <f>Window!H6</f>
        <v>0.11</v>
      </c>
      <c r="I39" s="82">
        <f>Window!I6</f>
        <v>0.14000000000000001</v>
      </c>
      <c r="J39" s="82">
        <f>Window!J6</f>
        <v>0.21</v>
      </c>
      <c r="K39" s="82">
        <f>Window!K6</f>
        <v>0.31</v>
      </c>
      <c r="L39" s="82">
        <f>Window!L6</f>
        <v>0.42</v>
      </c>
      <c r="M39" s="82">
        <f>Window!M6</f>
        <v>0.52</v>
      </c>
      <c r="N39" s="82">
        <f>Window!N6</f>
        <v>0.57000000000000006</v>
      </c>
      <c r="O39" s="82">
        <f>Window!O6</f>
        <v>0.57999999999999996</v>
      </c>
      <c r="P39" s="82">
        <f>Window!P6</f>
        <v>0.53</v>
      </c>
      <c r="Q39" s="82">
        <f>Window!Q6</f>
        <v>0.47000000000000003</v>
      </c>
      <c r="R39" s="82">
        <f>Window!R6</f>
        <v>0.41000000000000003</v>
      </c>
      <c r="S39" s="82">
        <f>Window!S6</f>
        <v>0.35000000000000003</v>
      </c>
      <c r="T39" s="82">
        <f>Window!T6</f>
        <v>0.28999999999999998</v>
      </c>
      <c r="U39" s="82">
        <f>Window!U6</f>
        <v>0.25</v>
      </c>
      <c r="V39" s="82">
        <f>Window!V6</f>
        <v>0.21</v>
      </c>
      <c r="W39" s="82">
        <f>Window!W6</f>
        <v>0.18</v>
      </c>
      <c r="X39" s="84" t="e">
        <f t="shared" si="24"/>
        <v>#N/A</v>
      </c>
      <c r="Y39" s="84" t="e">
        <f t="shared" si="25"/>
        <v>#N/A</v>
      </c>
      <c r="Z39" s="84" t="e">
        <f t="shared" si="26"/>
        <v>#N/A</v>
      </c>
      <c r="AA39" s="84" t="e">
        <f t="shared" si="27"/>
        <v>#N/A</v>
      </c>
      <c r="AB39" s="84" t="e">
        <f t="shared" si="28"/>
        <v>#N/A</v>
      </c>
      <c r="AC39" s="84" t="e">
        <f t="shared" si="29"/>
        <v>#N/A</v>
      </c>
      <c r="AD39" s="84" t="e">
        <f t="shared" si="30"/>
        <v>#N/A</v>
      </c>
      <c r="AE39" s="84" t="e">
        <f t="shared" si="31"/>
        <v>#N/A</v>
      </c>
      <c r="AF39" s="84" t="e">
        <f t="shared" si="32"/>
        <v>#N/A</v>
      </c>
      <c r="AG39" s="84" t="e">
        <f t="shared" si="33"/>
        <v>#N/A</v>
      </c>
      <c r="AH39" s="84" t="e">
        <f t="shared" si="34"/>
        <v>#N/A</v>
      </c>
      <c r="AI39" s="84" t="e">
        <f t="shared" si="35"/>
        <v>#N/A</v>
      </c>
      <c r="AJ39" s="84" t="e">
        <f t="shared" si="36"/>
        <v>#N/A</v>
      </c>
      <c r="AK39" s="84" t="e">
        <f t="shared" si="37"/>
        <v>#N/A</v>
      </c>
      <c r="AL39" s="84" t="e">
        <f t="shared" si="38"/>
        <v>#N/A</v>
      </c>
      <c r="AM39" s="84" t="e">
        <f t="shared" si="39"/>
        <v>#N/A</v>
      </c>
      <c r="AN39" s="84" t="e">
        <f t="shared" si="40"/>
        <v>#N/A</v>
      </c>
    </row>
    <row r="40" spans="1:40" x14ac:dyDescent="0.3">
      <c r="A40" s="24"/>
      <c r="B40" s="25" t="s">
        <v>125</v>
      </c>
      <c r="C40" s="26"/>
      <c r="D40" s="82"/>
      <c r="E40" s="82" t="e">
        <f>Window!G19</f>
        <v>#N/A</v>
      </c>
      <c r="F40" s="32"/>
      <c r="G40" s="82">
        <f>Window!G7</f>
        <v>0.09</v>
      </c>
      <c r="H40" s="82">
        <f>Window!H7</f>
        <v>0.1</v>
      </c>
      <c r="I40" s="82">
        <f>Window!I7</f>
        <v>0.12</v>
      </c>
      <c r="J40" s="82">
        <f>Window!J7</f>
        <v>0.13</v>
      </c>
      <c r="K40" s="82">
        <f>Window!K7</f>
        <v>0.15</v>
      </c>
      <c r="L40" s="82">
        <f>Window!L7</f>
        <v>0.17</v>
      </c>
      <c r="M40" s="82">
        <f>Window!M7</f>
        <v>0.23</v>
      </c>
      <c r="N40" s="82">
        <f>Window!N7</f>
        <v>0.33</v>
      </c>
      <c r="O40" s="82">
        <f>Window!O7</f>
        <v>0.44</v>
      </c>
      <c r="P40" s="82">
        <f>Window!P7</f>
        <v>0.53</v>
      </c>
      <c r="Q40" s="82">
        <f>Window!Q7</f>
        <v>0.57999999999999996</v>
      </c>
      <c r="R40" s="82">
        <f>Window!R7</f>
        <v>0.59</v>
      </c>
      <c r="S40" s="82">
        <f>Window!S7</f>
        <v>0.53</v>
      </c>
      <c r="T40" s="82">
        <f>Window!T7</f>
        <v>0.41000000000000003</v>
      </c>
      <c r="U40" s="82">
        <f>Window!U7</f>
        <v>0.33</v>
      </c>
      <c r="V40" s="82">
        <f>Window!V7</f>
        <v>0.28000000000000003</v>
      </c>
      <c r="W40" s="82">
        <f>Window!W7</f>
        <v>0.24</v>
      </c>
      <c r="X40" s="84" t="e">
        <f t="shared" si="24"/>
        <v>#N/A</v>
      </c>
      <c r="Y40" s="84" t="e">
        <f t="shared" si="25"/>
        <v>#N/A</v>
      </c>
      <c r="Z40" s="84" t="e">
        <f t="shared" si="26"/>
        <v>#N/A</v>
      </c>
      <c r="AA40" s="84" t="e">
        <f t="shared" si="27"/>
        <v>#N/A</v>
      </c>
      <c r="AB40" s="84" t="e">
        <f t="shared" si="28"/>
        <v>#N/A</v>
      </c>
      <c r="AC40" s="84" t="e">
        <f t="shared" si="29"/>
        <v>#N/A</v>
      </c>
      <c r="AD40" s="84" t="e">
        <f t="shared" si="30"/>
        <v>#N/A</v>
      </c>
      <c r="AE40" s="84" t="e">
        <f t="shared" si="31"/>
        <v>#N/A</v>
      </c>
      <c r="AF40" s="84" t="e">
        <f t="shared" si="32"/>
        <v>#N/A</v>
      </c>
      <c r="AG40" s="84" t="e">
        <f t="shared" si="33"/>
        <v>#N/A</v>
      </c>
      <c r="AH40" s="84" t="e">
        <f t="shared" si="34"/>
        <v>#N/A</v>
      </c>
      <c r="AI40" s="84" t="e">
        <f t="shared" si="35"/>
        <v>#N/A</v>
      </c>
      <c r="AJ40" s="84" t="e">
        <f t="shared" si="36"/>
        <v>#N/A</v>
      </c>
      <c r="AK40" s="84" t="e">
        <f t="shared" si="37"/>
        <v>#N/A</v>
      </c>
      <c r="AL40" s="84" t="e">
        <f t="shared" si="38"/>
        <v>#N/A</v>
      </c>
      <c r="AM40" s="84" t="e">
        <f t="shared" si="39"/>
        <v>#N/A</v>
      </c>
      <c r="AN40" s="84" t="e">
        <f t="shared" si="40"/>
        <v>#N/A</v>
      </c>
    </row>
    <row r="41" spans="1:40" x14ac:dyDescent="0.3">
      <c r="A41" s="24"/>
      <c r="B41" s="25" t="s">
        <v>126</v>
      </c>
      <c r="C41" s="26"/>
      <c r="D41" s="82"/>
      <c r="E41" s="82" t="e">
        <f>Window!G20</f>
        <v>#N/A</v>
      </c>
      <c r="F41" s="32"/>
      <c r="G41" s="82">
        <f>Window!G8</f>
        <v>0.09</v>
      </c>
      <c r="H41" s="82">
        <f>Window!H8</f>
        <v>0.09</v>
      </c>
      <c r="I41" s="82">
        <f>Window!I8</f>
        <v>0.1</v>
      </c>
      <c r="J41" s="82">
        <f>Window!J8</f>
        <v>0.11</v>
      </c>
      <c r="K41" s="82">
        <f>Window!K8</f>
        <v>0.12</v>
      </c>
      <c r="L41" s="82">
        <f>Window!L8</f>
        <v>0.13</v>
      </c>
      <c r="M41" s="82">
        <f>Window!M8</f>
        <v>0.14000000000000001</v>
      </c>
      <c r="N41" s="82">
        <f>Window!N8</f>
        <v>0.19</v>
      </c>
      <c r="O41" s="82">
        <f>Window!O8</f>
        <v>0.28999999999999998</v>
      </c>
      <c r="P41" s="82">
        <f>Window!P8</f>
        <v>0.4</v>
      </c>
      <c r="Q41" s="82">
        <f>Window!Q8</f>
        <v>0.5</v>
      </c>
      <c r="R41" s="82">
        <f>Window!R8</f>
        <v>0.56000000000000005</v>
      </c>
      <c r="S41" s="82">
        <f>Window!S8</f>
        <v>0.55000000000000004</v>
      </c>
      <c r="T41" s="82">
        <f>Window!T8</f>
        <v>0.41000000000000003</v>
      </c>
      <c r="U41" s="82">
        <f>Window!U8</f>
        <v>0.33</v>
      </c>
      <c r="V41" s="82">
        <f>Window!V8</f>
        <v>0.27</v>
      </c>
      <c r="W41" s="82">
        <f>Window!W8</f>
        <v>0.23</v>
      </c>
      <c r="X41" s="84" t="e">
        <f t="shared" si="24"/>
        <v>#N/A</v>
      </c>
      <c r="Y41" s="84" t="e">
        <f t="shared" si="25"/>
        <v>#N/A</v>
      </c>
      <c r="Z41" s="84" t="e">
        <f t="shared" si="26"/>
        <v>#N/A</v>
      </c>
      <c r="AA41" s="84" t="e">
        <f t="shared" si="27"/>
        <v>#N/A</v>
      </c>
      <c r="AB41" s="84" t="e">
        <f t="shared" si="28"/>
        <v>#N/A</v>
      </c>
      <c r="AC41" s="84" t="e">
        <f t="shared" si="29"/>
        <v>#N/A</v>
      </c>
      <c r="AD41" s="84" t="e">
        <f t="shared" si="30"/>
        <v>#N/A</v>
      </c>
      <c r="AE41" s="84" t="e">
        <f t="shared" si="31"/>
        <v>#N/A</v>
      </c>
      <c r="AF41" s="84" t="e">
        <f t="shared" si="32"/>
        <v>#N/A</v>
      </c>
      <c r="AG41" s="84" t="e">
        <f t="shared" si="33"/>
        <v>#N/A</v>
      </c>
      <c r="AH41" s="84" t="e">
        <f t="shared" si="34"/>
        <v>#N/A</v>
      </c>
      <c r="AI41" s="84" t="e">
        <f t="shared" si="35"/>
        <v>#N/A</v>
      </c>
      <c r="AJ41" s="84" t="e">
        <f t="shared" si="36"/>
        <v>#N/A</v>
      </c>
      <c r="AK41" s="84" t="e">
        <f t="shared" si="37"/>
        <v>#N/A</v>
      </c>
      <c r="AL41" s="84" t="e">
        <f t="shared" si="38"/>
        <v>#N/A</v>
      </c>
      <c r="AM41" s="84" t="e">
        <f t="shared" si="39"/>
        <v>#N/A</v>
      </c>
      <c r="AN41" s="84" t="e">
        <f t="shared" si="40"/>
        <v>#N/A</v>
      </c>
    </row>
    <row r="42" spans="1:40" x14ac:dyDescent="0.3">
      <c r="A42" s="24"/>
      <c r="B42" s="25" t="s">
        <v>127</v>
      </c>
      <c r="C42" s="26"/>
      <c r="D42" s="82"/>
      <c r="E42" s="82" t="e">
        <f>Window!G21</f>
        <v>#N/A</v>
      </c>
      <c r="F42" s="32"/>
      <c r="G42" s="82">
        <f>Window!G9</f>
        <v>0.09</v>
      </c>
      <c r="H42" s="82">
        <f>Window!H9</f>
        <v>0.1</v>
      </c>
      <c r="I42" s="82">
        <f>Window!I9</f>
        <v>0.11</v>
      </c>
      <c r="J42" s="82">
        <f>Window!J9</f>
        <v>0.13</v>
      </c>
      <c r="K42" s="82">
        <f>Window!K9</f>
        <v>0.15</v>
      </c>
      <c r="L42" s="82">
        <f>Window!L9</f>
        <v>0.16</v>
      </c>
      <c r="M42" s="82">
        <f>Window!M9</f>
        <v>0.17</v>
      </c>
      <c r="N42" s="82">
        <f>Window!N9</f>
        <v>0.18</v>
      </c>
      <c r="O42" s="82">
        <f>Window!O9</f>
        <v>0.21</v>
      </c>
      <c r="P42" s="82">
        <f>Window!P9</f>
        <v>0.3</v>
      </c>
      <c r="Q42" s="82">
        <f>Window!Q9</f>
        <v>0.42</v>
      </c>
      <c r="R42" s="82">
        <f>Window!R9</f>
        <v>0.51</v>
      </c>
      <c r="S42" s="82">
        <f>Window!S9</f>
        <v>0.54</v>
      </c>
      <c r="T42" s="82">
        <f>Window!T9</f>
        <v>0.39</v>
      </c>
      <c r="U42" s="82">
        <f>Window!U9</f>
        <v>0.32</v>
      </c>
      <c r="V42" s="82">
        <f>Window!V9</f>
        <v>0.26</v>
      </c>
      <c r="W42" s="82">
        <f>Window!W9</f>
        <v>0.22</v>
      </c>
      <c r="X42" s="84" t="e">
        <f t="shared" si="24"/>
        <v>#N/A</v>
      </c>
      <c r="Y42" s="84" t="e">
        <f t="shared" si="25"/>
        <v>#N/A</v>
      </c>
      <c r="Z42" s="84" t="e">
        <f t="shared" si="26"/>
        <v>#N/A</v>
      </c>
      <c r="AA42" s="84" t="e">
        <f t="shared" si="27"/>
        <v>#N/A</v>
      </c>
      <c r="AB42" s="84" t="e">
        <f t="shared" si="28"/>
        <v>#N/A</v>
      </c>
      <c r="AC42" s="84" t="e">
        <f t="shared" si="29"/>
        <v>#N/A</v>
      </c>
      <c r="AD42" s="84" t="e">
        <f t="shared" si="30"/>
        <v>#N/A</v>
      </c>
      <c r="AE42" s="84" t="e">
        <f t="shared" si="31"/>
        <v>#N/A</v>
      </c>
      <c r="AF42" s="84" t="e">
        <f t="shared" si="32"/>
        <v>#N/A</v>
      </c>
      <c r="AG42" s="84" t="e">
        <f t="shared" si="33"/>
        <v>#N/A</v>
      </c>
      <c r="AH42" s="84" t="e">
        <f t="shared" si="34"/>
        <v>#N/A</v>
      </c>
      <c r="AI42" s="84" t="e">
        <f t="shared" si="35"/>
        <v>#N/A</v>
      </c>
      <c r="AJ42" s="84" t="e">
        <f t="shared" si="36"/>
        <v>#N/A</v>
      </c>
      <c r="AK42" s="84" t="e">
        <f t="shared" si="37"/>
        <v>#N/A</v>
      </c>
      <c r="AL42" s="84" t="e">
        <f t="shared" si="38"/>
        <v>#N/A</v>
      </c>
      <c r="AM42" s="84" t="e">
        <f t="shared" si="39"/>
        <v>#N/A</v>
      </c>
      <c r="AN42" s="84" t="e">
        <f t="shared" si="40"/>
        <v>#N/A</v>
      </c>
    </row>
    <row r="43" spans="1:40" x14ac:dyDescent="0.3">
      <c r="A43" s="74"/>
      <c r="B43" s="75"/>
      <c r="C43" s="126"/>
      <c r="D43" s="32" t="s">
        <v>105</v>
      </c>
      <c r="E43" s="32" t="s">
        <v>106</v>
      </c>
      <c r="F43" s="32" t="s">
        <v>61</v>
      </c>
      <c r="G43" s="193" t="s">
        <v>62</v>
      </c>
      <c r="H43" s="194"/>
      <c r="I43" s="194"/>
      <c r="J43" s="194"/>
      <c r="K43" s="194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5"/>
      <c r="X43" s="198" t="s">
        <v>214</v>
      </c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3"/>
      <c r="AK43" s="193"/>
      <c r="AL43" s="193"/>
      <c r="AM43" s="193"/>
      <c r="AN43" s="199"/>
    </row>
    <row r="44" spans="1:40" x14ac:dyDescent="0.3">
      <c r="A44" s="76" t="s">
        <v>72</v>
      </c>
      <c r="B44" s="77" t="s">
        <v>73</v>
      </c>
      <c r="C44" s="126"/>
      <c r="D44" s="32">
        <v>1.1000000000000001</v>
      </c>
      <c r="E44" s="32">
        <f>5*E53</f>
        <v>0</v>
      </c>
      <c r="F44" s="33">
        <f>$D$4</f>
        <v>26</v>
      </c>
      <c r="G44" s="32" t="e">
        <f>G25</f>
        <v>#N/A</v>
      </c>
      <c r="H44" s="82" t="e">
        <f t="shared" ref="H44:W44" si="41">H25</f>
        <v>#N/A</v>
      </c>
      <c r="I44" s="82" t="e">
        <f t="shared" si="41"/>
        <v>#N/A</v>
      </c>
      <c r="J44" s="82" t="e">
        <f t="shared" si="41"/>
        <v>#N/A</v>
      </c>
      <c r="K44" s="82" t="e">
        <f t="shared" si="41"/>
        <v>#N/A</v>
      </c>
      <c r="L44" s="82" t="e">
        <f t="shared" si="41"/>
        <v>#N/A</v>
      </c>
      <c r="M44" s="82" t="e">
        <f t="shared" si="41"/>
        <v>#N/A</v>
      </c>
      <c r="N44" s="82" t="e">
        <f t="shared" si="41"/>
        <v>#N/A</v>
      </c>
      <c r="O44" s="82" t="e">
        <f t="shared" si="41"/>
        <v>#N/A</v>
      </c>
      <c r="P44" s="82" t="e">
        <f t="shared" si="41"/>
        <v>#N/A</v>
      </c>
      <c r="Q44" s="82" t="e">
        <f t="shared" si="41"/>
        <v>#N/A</v>
      </c>
      <c r="R44" s="82" t="e">
        <f t="shared" si="41"/>
        <v>#N/A</v>
      </c>
      <c r="S44" s="82" t="e">
        <f t="shared" si="41"/>
        <v>#N/A</v>
      </c>
      <c r="T44" s="82" t="e">
        <f t="shared" si="41"/>
        <v>#N/A</v>
      </c>
      <c r="U44" s="82" t="e">
        <f t="shared" si="41"/>
        <v>#N/A</v>
      </c>
      <c r="V44" s="82" t="e">
        <f t="shared" si="41"/>
        <v>#N/A</v>
      </c>
      <c r="W44" s="82" t="e">
        <f t="shared" si="41"/>
        <v>#N/A</v>
      </c>
      <c r="X44" s="34" t="e">
        <f>0.293071*$D$44*$E$44*1.8*(G44-$F$44)</f>
        <v>#N/A</v>
      </c>
      <c r="Y44" s="103" t="e">
        <f t="shared" ref="Y44:AN44" si="42">0.293071*$D$44*$E$44*1.8*(H44-$F$44)</f>
        <v>#N/A</v>
      </c>
      <c r="Z44" s="103" t="e">
        <f t="shared" si="42"/>
        <v>#N/A</v>
      </c>
      <c r="AA44" s="103" t="e">
        <f t="shared" si="42"/>
        <v>#N/A</v>
      </c>
      <c r="AB44" s="103" t="e">
        <f t="shared" si="42"/>
        <v>#N/A</v>
      </c>
      <c r="AC44" s="103" t="e">
        <f t="shared" si="42"/>
        <v>#N/A</v>
      </c>
      <c r="AD44" s="103" t="e">
        <f t="shared" si="42"/>
        <v>#N/A</v>
      </c>
      <c r="AE44" s="103" t="e">
        <f t="shared" si="42"/>
        <v>#N/A</v>
      </c>
      <c r="AF44" s="103" t="e">
        <f t="shared" si="42"/>
        <v>#N/A</v>
      </c>
      <c r="AG44" s="103" t="e">
        <f t="shared" si="42"/>
        <v>#N/A</v>
      </c>
      <c r="AH44" s="103" t="e">
        <f t="shared" si="42"/>
        <v>#N/A</v>
      </c>
      <c r="AI44" s="103" t="e">
        <f t="shared" si="42"/>
        <v>#N/A</v>
      </c>
      <c r="AJ44" s="103" t="e">
        <f t="shared" si="42"/>
        <v>#N/A</v>
      </c>
      <c r="AK44" s="103" t="e">
        <f t="shared" si="42"/>
        <v>#N/A</v>
      </c>
      <c r="AL44" s="103" t="e">
        <f t="shared" si="42"/>
        <v>#N/A</v>
      </c>
      <c r="AM44" s="103" t="e">
        <f t="shared" si="42"/>
        <v>#N/A</v>
      </c>
      <c r="AN44" s="103" t="e">
        <f t="shared" si="42"/>
        <v>#N/A</v>
      </c>
    </row>
    <row r="45" spans="1:40" x14ac:dyDescent="0.3">
      <c r="A45" s="24"/>
      <c r="B45" s="25"/>
      <c r="C45" s="26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37"/>
      <c r="T45" s="37"/>
      <c r="U45" s="37"/>
      <c r="V45" s="27"/>
      <c r="W45" s="31"/>
      <c r="X45" s="26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37"/>
      <c r="AK45" s="37"/>
      <c r="AL45" s="37"/>
      <c r="AM45" s="37"/>
      <c r="AN45" s="30"/>
    </row>
    <row r="46" spans="1:40" x14ac:dyDescent="0.3">
      <c r="A46" s="20"/>
      <c r="B46" s="21" t="s">
        <v>74</v>
      </c>
      <c r="C46" s="39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1"/>
      <c r="T46" s="41"/>
      <c r="U46" s="41"/>
      <c r="V46" s="40"/>
      <c r="W46" s="42"/>
      <c r="X46" s="39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1"/>
      <c r="AK46" s="41"/>
      <c r="AL46" s="41"/>
      <c r="AM46" s="41"/>
      <c r="AN46" s="43"/>
    </row>
    <row r="47" spans="1:40" x14ac:dyDescent="0.3">
      <c r="A47" s="74"/>
      <c r="B47" s="75"/>
      <c r="C47" s="127"/>
      <c r="D47" s="126"/>
      <c r="E47" s="78" t="s">
        <v>105</v>
      </c>
      <c r="F47" s="59" t="s">
        <v>106</v>
      </c>
      <c r="G47" s="193" t="s">
        <v>107</v>
      </c>
      <c r="H47" s="194"/>
      <c r="I47" s="194"/>
      <c r="J47" s="194"/>
      <c r="K47" s="194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5"/>
      <c r="X47" s="198" t="s">
        <v>112</v>
      </c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3"/>
      <c r="AK47" s="193"/>
      <c r="AL47" s="193"/>
      <c r="AM47" s="193"/>
      <c r="AN47" s="199"/>
    </row>
    <row r="48" spans="1:40" x14ac:dyDescent="0.3">
      <c r="A48" s="76" t="s">
        <v>72</v>
      </c>
      <c r="B48" s="77" t="s">
        <v>73</v>
      </c>
      <c r="C48" s="126"/>
      <c r="D48" s="126"/>
      <c r="E48" s="78">
        <v>4840</v>
      </c>
      <c r="F48" s="32">
        <f>E44</f>
        <v>0</v>
      </c>
      <c r="G48" s="32" t="e">
        <f ca="1">([1]!humidratio(G31,$D$8,3,$D$7,TRUE))-([1]!humidratio($D$4,$D$8,3,$D$5,TRUE))</f>
        <v>#NAME?</v>
      </c>
      <c r="H48" s="33" t="e">
        <f ca="1">([1]!humidratio(H31,$D$8,3,$D$7,TRUE))-([1]!humidratio($D$4,$D$8,3,$D$5,TRUE))</f>
        <v>#NAME?</v>
      </c>
      <c r="I48" s="33" t="e">
        <f ca="1">([1]!humidratio(I31,$D$8,3,$D$7,TRUE))-([1]!humidratio($D$4,$D$8,3,$D$5,TRUE))</f>
        <v>#NAME?</v>
      </c>
      <c r="J48" s="33" t="e">
        <f ca="1">([1]!humidratio(J31,$D$8,3,$D$7,TRUE))-([1]!humidratio($D$4,$D$8,3,$D$5,TRUE))</f>
        <v>#NAME?</v>
      </c>
      <c r="K48" s="33" t="e">
        <f ca="1">([1]!humidratio(K31,$D$8,3,$D$7,TRUE))-([1]!humidratio($D$4,$D$8,3,$D$5,TRUE))</f>
        <v>#NAME?</v>
      </c>
      <c r="L48" s="33" t="e">
        <f ca="1">([1]!humidratio(L31,$D$8,3,$D$7,TRUE))-([1]!humidratio($D$4,$D$8,3,$D$5,TRUE))</f>
        <v>#NAME?</v>
      </c>
      <c r="M48" s="33" t="e">
        <f ca="1">([1]!humidratio(M31,$D$8,3,$D$7,TRUE))-([1]!humidratio($D$4,$D$8,3,$D$5,TRUE))</f>
        <v>#NAME?</v>
      </c>
      <c r="N48" s="33" t="e">
        <f ca="1">([1]!humidratio(N31,$D$8,3,$D$7,TRUE))-([1]!humidratio($D$4,$D$8,3,$D$5,TRUE))</f>
        <v>#NAME?</v>
      </c>
      <c r="O48" s="33" t="e">
        <f ca="1">([1]!humidratio(O31,$D$8,3,$D$7,TRUE))-([1]!humidratio($D$4,$D$8,3,$D$5,TRUE))</f>
        <v>#NAME?</v>
      </c>
      <c r="P48" s="33" t="e">
        <f ca="1">([1]!humidratio(P31,$D$8,3,$D$7,TRUE))-([1]!humidratio($D$4,$D$8,3,$D$5,TRUE))</f>
        <v>#NAME?</v>
      </c>
      <c r="Q48" s="33" t="e">
        <f ca="1">([1]!humidratio(Q31,$D$8,3,$D$7,TRUE))-([1]!humidratio($D$4,$D$8,3,$D$5,TRUE))</f>
        <v>#NAME?</v>
      </c>
      <c r="R48" s="33" t="e">
        <f ca="1">([1]!humidratio(R31,$D$8,3,$D$7,TRUE))-([1]!humidratio($D$4,$D$8,3,$D$5,TRUE))</f>
        <v>#NAME?</v>
      </c>
      <c r="S48" s="33" t="e">
        <f ca="1">([1]!humidratio(S31,$D$8,3,$D$7,TRUE))-([1]!humidratio($D$4,$D$8,3,$D$5,TRUE))</f>
        <v>#NAME?</v>
      </c>
      <c r="T48" s="33" t="e">
        <f ca="1">([1]!humidratio(T31,$D$8,3,$D$7,TRUE))-([1]!humidratio($D$4,$D$8,3,$D$5,TRUE))</f>
        <v>#NAME?</v>
      </c>
      <c r="U48" s="33" t="e">
        <f ca="1">([1]!humidratio(U31,$D$8,3,$D$7,TRUE))-([1]!humidratio($D$4,$D$8,3,$D$5,TRUE))</f>
        <v>#NAME?</v>
      </c>
      <c r="V48" s="33" t="e">
        <f ca="1">([1]!humidratio(V31,$D$8,3,$D$7,TRUE))-([1]!humidratio($D$4,$D$8,3,$D$5,TRUE))</f>
        <v>#NAME?</v>
      </c>
      <c r="W48" s="33" t="e">
        <f ca="1">([1]!humidratio(W31,$D$8,3,$D$7,TRUE))-([1]!humidratio($D$4,$D$8,3,$D$5,TRUE))</f>
        <v>#NAME?</v>
      </c>
      <c r="X48" s="34" t="e">
        <f ca="1">IF(0.293071*$E$48*$F$48*G48&gt;=0,0.293071*$E$48*$F$48*G48,-1*(0.293071*$E$48*$F$48*G48))</f>
        <v>#NAME?</v>
      </c>
      <c r="Y48" s="103" t="e">
        <f t="shared" ref="Y48:AN48" ca="1" si="43">IF(0.293071*$E$48*$F$48*H48&gt;=0,0.293071*$E$48*$F$48*H48,-1*(0.293071*$E$48*$F$48*H48))</f>
        <v>#NAME?</v>
      </c>
      <c r="Z48" s="103" t="e">
        <f t="shared" ca="1" si="43"/>
        <v>#NAME?</v>
      </c>
      <c r="AA48" s="103" t="e">
        <f t="shared" ca="1" si="43"/>
        <v>#NAME?</v>
      </c>
      <c r="AB48" s="103" t="e">
        <f t="shared" ca="1" si="43"/>
        <v>#NAME?</v>
      </c>
      <c r="AC48" s="103" t="e">
        <f t="shared" ca="1" si="43"/>
        <v>#NAME?</v>
      </c>
      <c r="AD48" s="103" t="e">
        <f t="shared" ca="1" si="43"/>
        <v>#NAME?</v>
      </c>
      <c r="AE48" s="103" t="e">
        <f t="shared" ca="1" si="43"/>
        <v>#NAME?</v>
      </c>
      <c r="AF48" s="103" t="e">
        <f t="shared" ca="1" si="43"/>
        <v>#NAME?</v>
      </c>
      <c r="AG48" s="103" t="e">
        <f t="shared" ca="1" si="43"/>
        <v>#NAME?</v>
      </c>
      <c r="AH48" s="103" t="e">
        <f t="shared" ca="1" si="43"/>
        <v>#NAME?</v>
      </c>
      <c r="AI48" s="103" t="e">
        <f t="shared" ca="1" si="43"/>
        <v>#NAME?</v>
      </c>
      <c r="AJ48" s="103" t="e">
        <f t="shared" ca="1" si="43"/>
        <v>#NAME?</v>
      </c>
      <c r="AK48" s="103" t="e">
        <f t="shared" ca="1" si="43"/>
        <v>#NAME?</v>
      </c>
      <c r="AL48" s="103" t="e">
        <f t="shared" ca="1" si="43"/>
        <v>#NAME?</v>
      </c>
      <c r="AM48" s="103" t="e">
        <f t="shared" ca="1" si="43"/>
        <v>#NAME?</v>
      </c>
      <c r="AN48" s="103" t="e">
        <f t="shared" ca="1" si="43"/>
        <v>#NAME?</v>
      </c>
    </row>
    <row r="49" spans="1:40" x14ac:dyDescent="0.3">
      <c r="A49" s="24"/>
      <c r="B49" s="25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37"/>
      <c r="T49" s="37"/>
      <c r="U49" s="37"/>
      <c r="V49" s="27"/>
      <c r="W49" s="31"/>
      <c r="X49" s="26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37"/>
      <c r="AK49" s="37"/>
      <c r="AL49" s="37"/>
      <c r="AM49" s="37"/>
      <c r="AN49" s="30"/>
    </row>
    <row r="50" spans="1:40" x14ac:dyDescent="0.3">
      <c r="A50" s="67" t="s">
        <v>75</v>
      </c>
      <c r="B50" s="68" t="s">
        <v>76</v>
      </c>
      <c r="C50" s="69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1"/>
      <c r="T50" s="71"/>
      <c r="U50" s="71"/>
      <c r="V50" s="70"/>
      <c r="W50" s="72"/>
      <c r="X50" s="69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1"/>
      <c r="AK50" s="71"/>
      <c r="AL50" s="71"/>
      <c r="AM50" s="71"/>
      <c r="AN50" s="73"/>
    </row>
    <row r="51" spans="1:40" x14ac:dyDescent="0.3">
      <c r="A51" s="20"/>
      <c r="B51" s="21" t="s">
        <v>33</v>
      </c>
      <c r="C51" s="39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1"/>
      <c r="T51" s="41"/>
      <c r="U51" s="41"/>
      <c r="V51" s="40"/>
      <c r="W51" s="42"/>
      <c r="X51" s="39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1"/>
      <c r="AK51" s="41"/>
      <c r="AL51" s="41"/>
      <c r="AM51" s="41"/>
      <c r="AN51" s="43"/>
    </row>
    <row r="52" spans="1:40" x14ac:dyDescent="0.3">
      <c r="A52" s="24"/>
      <c r="B52" s="25"/>
      <c r="C52" s="26"/>
      <c r="D52" s="78" t="s">
        <v>113</v>
      </c>
      <c r="E52" s="32" t="s">
        <v>77</v>
      </c>
      <c r="F52" s="57" t="s">
        <v>78</v>
      </c>
      <c r="G52" s="193" t="s">
        <v>79</v>
      </c>
      <c r="H52" s="194"/>
      <c r="I52" s="194"/>
      <c r="J52" s="194"/>
      <c r="K52" s="194"/>
      <c r="L52" s="194"/>
      <c r="M52" s="194"/>
      <c r="N52" s="194"/>
      <c r="O52" s="194"/>
      <c r="P52" s="194"/>
      <c r="Q52" s="194"/>
      <c r="R52" s="194"/>
      <c r="S52" s="194"/>
      <c r="T52" s="194"/>
      <c r="U52" s="194"/>
      <c r="V52" s="194"/>
      <c r="W52" s="195"/>
      <c r="X52" s="198" t="s">
        <v>114</v>
      </c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3"/>
      <c r="AK52" s="193"/>
      <c r="AL52" s="193"/>
      <c r="AM52" s="193"/>
      <c r="AN52" s="199"/>
    </row>
    <row r="53" spans="1:40" x14ac:dyDescent="0.3">
      <c r="A53" s="28" t="s">
        <v>80</v>
      </c>
      <c r="B53" s="29" t="s">
        <v>81</v>
      </c>
      <c r="C53" s="26"/>
      <c r="D53" s="78">
        <v>0.5</v>
      </c>
      <c r="E53" s="32">
        <f>D6*10.7639*7/1000</f>
        <v>0</v>
      </c>
      <c r="F53" s="44">
        <v>65</v>
      </c>
      <c r="G53" s="32">
        <v>1</v>
      </c>
      <c r="H53" s="32">
        <v>1</v>
      </c>
      <c r="I53" s="32">
        <v>1</v>
      </c>
      <c r="J53" s="32">
        <v>1</v>
      </c>
      <c r="K53" s="32">
        <v>1</v>
      </c>
      <c r="L53" s="32">
        <v>1</v>
      </c>
      <c r="M53" s="32">
        <v>1</v>
      </c>
      <c r="N53" s="32">
        <v>1</v>
      </c>
      <c r="O53" s="32">
        <v>1</v>
      </c>
      <c r="P53" s="32">
        <v>1</v>
      </c>
      <c r="Q53" s="32">
        <v>1</v>
      </c>
      <c r="R53" s="32">
        <v>1</v>
      </c>
      <c r="S53" s="32">
        <v>1</v>
      </c>
      <c r="T53" s="32">
        <v>1</v>
      </c>
      <c r="U53" s="32">
        <v>1</v>
      </c>
      <c r="V53" s="32">
        <v>1</v>
      </c>
      <c r="W53" s="32">
        <v>1</v>
      </c>
      <c r="X53" s="34">
        <f>$D$53*$E$53*$F$53*G53</f>
        <v>0</v>
      </c>
      <c r="Y53" s="61">
        <f t="shared" ref="Y53:AN53" si="44">$D$53*$E$53*$F$53*H53</f>
        <v>0</v>
      </c>
      <c r="Z53" s="61">
        <f t="shared" si="44"/>
        <v>0</v>
      </c>
      <c r="AA53" s="61">
        <f t="shared" si="44"/>
        <v>0</v>
      </c>
      <c r="AB53" s="61">
        <f t="shared" si="44"/>
        <v>0</v>
      </c>
      <c r="AC53" s="61">
        <f t="shared" si="44"/>
        <v>0</v>
      </c>
      <c r="AD53" s="61">
        <f t="shared" si="44"/>
        <v>0</v>
      </c>
      <c r="AE53" s="61">
        <f t="shared" si="44"/>
        <v>0</v>
      </c>
      <c r="AF53" s="61">
        <f t="shared" si="44"/>
        <v>0</v>
      </c>
      <c r="AG53" s="61">
        <f t="shared" si="44"/>
        <v>0</v>
      </c>
      <c r="AH53" s="61">
        <f t="shared" si="44"/>
        <v>0</v>
      </c>
      <c r="AI53" s="61">
        <f t="shared" si="44"/>
        <v>0</v>
      </c>
      <c r="AJ53" s="61">
        <f t="shared" si="44"/>
        <v>0</v>
      </c>
      <c r="AK53" s="61">
        <f t="shared" si="44"/>
        <v>0</v>
      </c>
      <c r="AL53" s="61">
        <f t="shared" si="44"/>
        <v>0</v>
      </c>
      <c r="AM53" s="61">
        <f t="shared" si="44"/>
        <v>0</v>
      </c>
      <c r="AN53" s="61">
        <f t="shared" si="44"/>
        <v>0</v>
      </c>
    </row>
    <row r="54" spans="1:40" x14ac:dyDescent="0.3">
      <c r="A54" s="24"/>
      <c r="B54" s="25"/>
      <c r="C54" s="78" t="s">
        <v>113</v>
      </c>
      <c r="D54" s="32" t="s">
        <v>82</v>
      </c>
      <c r="E54" s="32" t="s">
        <v>83</v>
      </c>
      <c r="F54" s="32" t="s">
        <v>84</v>
      </c>
      <c r="G54" s="193" t="s">
        <v>79</v>
      </c>
      <c r="H54" s="194"/>
      <c r="I54" s="194"/>
      <c r="J54" s="194"/>
      <c r="K54" s="194"/>
      <c r="L54" s="194"/>
      <c r="M54" s="194"/>
      <c r="N54" s="194"/>
      <c r="O54" s="194"/>
      <c r="P54" s="194"/>
      <c r="Q54" s="194"/>
      <c r="R54" s="194"/>
      <c r="S54" s="194"/>
      <c r="T54" s="194"/>
      <c r="U54" s="194"/>
      <c r="V54" s="194"/>
      <c r="W54" s="195"/>
      <c r="X54" s="198" t="s">
        <v>85</v>
      </c>
      <c r="Y54" s="192"/>
      <c r="Z54" s="192"/>
      <c r="AA54" s="192"/>
      <c r="AB54" s="192"/>
      <c r="AC54" s="192"/>
      <c r="AD54" s="192"/>
      <c r="AE54" s="192"/>
      <c r="AF54" s="192"/>
      <c r="AG54" s="192"/>
      <c r="AH54" s="192"/>
      <c r="AI54" s="192"/>
      <c r="AJ54" s="193"/>
      <c r="AK54" s="193"/>
      <c r="AL54" s="193"/>
      <c r="AM54" s="193"/>
      <c r="AN54" s="199"/>
    </row>
    <row r="55" spans="1:40" x14ac:dyDescent="0.3">
      <c r="A55" s="28" t="s">
        <v>86</v>
      </c>
      <c r="B55" s="29" t="s">
        <v>87</v>
      </c>
      <c r="C55" s="78">
        <v>0.4</v>
      </c>
      <c r="D55" s="32">
        <f>D6*0.25</f>
        <v>0</v>
      </c>
      <c r="E55" s="32">
        <v>1</v>
      </c>
      <c r="F55" s="44">
        <v>0.87</v>
      </c>
      <c r="G55" s="32">
        <v>0.57999999999999996</v>
      </c>
      <c r="H55" s="32">
        <v>0.28000000000000003</v>
      </c>
      <c r="I55" s="32">
        <v>0.26</v>
      </c>
      <c r="J55" s="32">
        <v>0.25</v>
      </c>
      <c r="K55" s="32">
        <v>0.23</v>
      </c>
      <c r="L55" s="32">
        <v>0.22</v>
      </c>
      <c r="M55" s="32">
        <v>0.2</v>
      </c>
      <c r="N55" s="32">
        <v>0.19</v>
      </c>
      <c r="O55" s="32">
        <v>0.18</v>
      </c>
      <c r="P55" s="32">
        <v>0.17</v>
      </c>
      <c r="Q55" s="32">
        <v>0.16</v>
      </c>
      <c r="R55" s="32">
        <v>0.55000000000000004</v>
      </c>
      <c r="S55" s="32">
        <v>0.57999999999999996</v>
      </c>
      <c r="T55" s="32">
        <v>0.6</v>
      </c>
      <c r="U55" s="32">
        <v>0.63</v>
      </c>
      <c r="V55" s="32">
        <v>0.65</v>
      </c>
      <c r="W55" s="32">
        <v>0.67</v>
      </c>
      <c r="X55" s="34">
        <f>$C$55*$D$55*$E$55*$F$55*G55</f>
        <v>0</v>
      </c>
      <c r="Y55" s="103">
        <f t="shared" ref="Y55:AN55" si="45">$C$55*$D$55*$E$55*$F$55*H55</f>
        <v>0</v>
      </c>
      <c r="Z55" s="103">
        <f t="shared" si="45"/>
        <v>0</v>
      </c>
      <c r="AA55" s="103">
        <f t="shared" si="45"/>
        <v>0</v>
      </c>
      <c r="AB55" s="103">
        <f t="shared" si="45"/>
        <v>0</v>
      </c>
      <c r="AC55" s="103">
        <f t="shared" si="45"/>
        <v>0</v>
      </c>
      <c r="AD55" s="103">
        <f t="shared" si="45"/>
        <v>0</v>
      </c>
      <c r="AE55" s="103">
        <f t="shared" si="45"/>
        <v>0</v>
      </c>
      <c r="AF55" s="103">
        <f t="shared" si="45"/>
        <v>0</v>
      </c>
      <c r="AG55" s="103">
        <f t="shared" si="45"/>
        <v>0</v>
      </c>
      <c r="AH55" s="103">
        <f t="shared" si="45"/>
        <v>0</v>
      </c>
      <c r="AI55" s="103">
        <f t="shared" si="45"/>
        <v>0</v>
      </c>
      <c r="AJ55" s="103">
        <f t="shared" si="45"/>
        <v>0</v>
      </c>
      <c r="AK55" s="103">
        <f t="shared" si="45"/>
        <v>0</v>
      </c>
      <c r="AL55" s="103">
        <f t="shared" si="45"/>
        <v>0</v>
      </c>
      <c r="AM55" s="103">
        <f t="shared" si="45"/>
        <v>0</v>
      </c>
      <c r="AN55" s="103">
        <f t="shared" si="45"/>
        <v>0</v>
      </c>
    </row>
    <row r="56" spans="1:40" x14ac:dyDescent="0.3">
      <c r="A56" s="20"/>
      <c r="B56" s="21" t="s">
        <v>74</v>
      </c>
      <c r="C56" s="39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1"/>
      <c r="T56" s="41"/>
      <c r="U56" s="41"/>
      <c r="V56" s="40"/>
      <c r="W56" s="42"/>
      <c r="X56" s="39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1"/>
      <c r="AK56" s="41"/>
      <c r="AL56" s="41"/>
      <c r="AM56" s="41"/>
      <c r="AN56" s="43"/>
    </row>
    <row r="57" spans="1:40" x14ac:dyDescent="0.3">
      <c r="A57" s="24"/>
      <c r="B57" s="25"/>
      <c r="C57" s="26"/>
      <c r="D57" s="27"/>
      <c r="E57" s="27"/>
      <c r="F57" s="27"/>
      <c r="G57" s="27"/>
      <c r="H57" s="27"/>
      <c r="I57" s="78" t="s">
        <v>113</v>
      </c>
      <c r="J57" s="32" t="s">
        <v>77</v>
      </c>
      <c r="K57" s="58" t="s">
        <v>88</v>
      </c>
      <c r="L57" s="32"/>
      <c r="M57" s="32"/>
      <c r="N57" s="32"/>
      <c r="O57" s="32"/>
      <c r="P57" s="32"/>
      <c r="Q57" s="32"/>
      <c r="R57" s="32"/>
      <c r="S57" s="35"/>
      <c r="T57" s="35"/>
      <c r="U57" s="32"/>
      <c r="V57" s="56"/>
      <c r="W57" s="32"/>
      <c r="X57" s="200" t="s">
        <v>115</v>
      </c>
      <c r="Y57" s="192"/>
      <c r="Z57" s="192"/>
      <c r="AA57" s="192"/>
      <c r="AB57" s="192"/>
      <c r="AC57" s="192"/>
      <c r="AD57" s="192"/>
      <c r="AE57" s="192"/>
      <c r="AF57" s="192"/>
      <c r="AG57" s="192"/>
      <c r="AH57" s="192"/>
      <c r="AI57" s="192"/>
      <c r="AJ57" s="193"/>
      <c r="AK57" s="193"/>
      <c r="AL57" s="193"/>
      <c r="AM57" s="193"/>
      <c r="AN57" s="199"/>
    </row>
    <row r="58" spans="1:40" ht="15" thickBot="1" x14ac:dyDescent="0.35">
      <c r="A58" s="28" t="s">
        <v>80</v>
      </c>
      <c r="B58" s="29" t="s">
        <v>81</v>
      </c>
      <c r="C58" s="26"/>
      <c r="D58" s="27"/>
      <c r="E58" s="27"/>
      <c r="F58" s="27"/>
      <c r="G58" s="27"/>
      <c r="H58" s="27"/>
      <c r="I58" s="78">
        <v>0.5</v>
      </c>
      <c r="J58" s="32">
        <f>E53</f>
        <v>0</v>
      </c>
      <c r="K58" s="32">
        <v>55</v>
      </c>
      <c r="L58" s="32"/>
      <c r="M58" s="32"/>
      <c r="N58" s="32"/>
      <c r="O58" s="32"/>
      <c r="P58" s="32"/>
      <c r="Q58" s="32"/>
      <c r="R58" s="32"/>
      <c r="S58" s="35"/>
      <c r="T58" s="35"/>
      <c r="U58" s="35"/>
      <c r="V58" s="32"/>
      <c r="W58" s="45"/>
      <c r="X58" s="34">
        <f>$I$58*$J$58*$K$58</f>
        <v>0</v>
      </c>
      <c r="Y58" s="61">
        <f t="shared" ref="Y58:AN58" si="46">$I$58*$J$58*$K$58</f>
        <v>0</v>
      </c>
      <c r="Z58" s="61">
        <f t="shared" si="46"/>
        <v>0</v>
      </c>
      <c r="AA58" s="61">
        <f t="shared" si="46"/>
        <v>0</v>
      </c>
      <c r="AB58" s="61">
        <f t="shared" si="46"/>
        <v>0</v>
      </c>
      <c r="AC58" s="61">
        <f t="shared" si="46"/>
        <v>0</v>
      </c>
      <c r="AD58" s="61">
        <f t="shared" si="46"/>
        <v>0</v>
      </c>
      <c r="AE58" s="61">
        <f t="shared" si="46"/>
        <v>0</v>
      </c>
      <c r="AF58" s="61">
        <f t="shared" si="46"/>
        <v>0</v>
      </c>
      <c r="AG58" s="61">
        <f t="shared" si="46"/>
        <v>0</v>
      </c>
      <c r="AH58" s="61">
        <f t="shared" si="46"/>
        <v>0</v>
      </c>
      <c r="AI58" s="61">
        <f t="shared" si="46"/>
        <v>0</v>
      </c>
      <c r="AJ58" s="61">
        <f t="shared" si="46"/>
        <v>0</v>
      </c>
      <c r="AK58" s="61">
        <f t="shared" si="46"/>
        <v>0</v>
      </c>
      <c r="AL58" s="61">
        <f t="shared" si="46"/>
        <v>0</v>
      </c>
      <c r="AM58" s="61">
        <f t="shared" si="46"/>
        <v>0</v>
      </c>
      <c r="AN58" s="61">
        <f t="shared" si="46"/>
        <v>0</v>
      </c>
    </row>
    <row r="59" spans="1:40" x14ac:dyDescent="0.3">
      <c r="A59" s="46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8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50"/>
    </row>
    <row r="60" spans="1:40" x14ac:dyDescent="0.3">
      <c r="A60" s="51"/>
      <c r="B60" s="128" t="s">
        <v>89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52" t="e">
        <f>SUM(X15:X23,X25:X26,X31,X35:X42,X44)</f>
        <v>#N/A</v>
      </c>
      <c r="Y60" s="52" t="e">
        <f t="shared" ref="Y60:AN60" si="47">SUM(Y15:Y23,Y25:Y26,Y31,Y35:Y42,Y44)</f>
        <v>#N/A</v>
      </c>
      <c r="Z60" s="52" t="e">
        <f t="shared" si="47"/>
        <v>#N/A</v>
      </c>
      <c r="AA60" s="52" t="e">
        <f t="shared" si="47"/>
        <v>#N/A</v>
      </c>
      <c r="AB60" s="52" t="e">
        <f t="shared" si="47"/>
        <v>#N/A</v>
      </c>
      <c r="AC60" s="52" t="e">
        <f t="shared" si="47"/>
        <v>#N/A</v>
      </c>
      <c r="AD60" s="52" t="e">
        <f t="shared" si="47"/>
        <v>#N/A</v>
      </c>
      <c r="AE60" s="52" t="e">
        <f t="shared" si="47"/>
        <v>#N/A</v>
      </c>
      <c r="AF60" s="52" t="e">
        <f t="shared" si="47"/>
        <v>#N/A</v>
      </c>
      <c r="AG60" s="52" t="e">
        <f t="shared" si="47"/>
        <v>#N/A</v>
      </c>
      <c r="AH60" s="52" t="e">
        <f t="shared" si="47"/>
        <v>#N/A</v>
      </c>
      <c r="AI60" s="52" t="e">
        <f t="shared" si="47"/>
        <v>#N/A</v>
      </c>
      <c r="AJ60" s="52" t="e">
        <f t="shared" si="47"/>
        <v>#N/A</v>
      </c>
      <c r="AK60" s="52" t="e">
        <f t="shared" si="47"/>
        <v>#N/A</v>
      </c>
      <c r="AL60" s="52" t="e">
        <f t="shared" si="47"/>
        <v>#N/A</v>
      </c>
      <c r="AM60" s="52" t="e">
        <f t="shared" si="47"/>
        <v>#N/A</v>
      </c>
      <c r="AN60" s="129" t="e">
        <f t="shared" si="47"/>
        <v>#N/A</v>
      </c>
    </row>
    <row r="61" spans="1:40" x14ac:dyDescent="0.3">
      <c r="A61" s="5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52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53"/>
    </row>
    <row r="62" spans="1:40" x14ac:dyDescent="0.3">
      <c r="A62" s="51"/>
      <c r="B62" s="128" t="s">
        <v>90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52">
        <f>SUM(X53,X55)</f>
        <v>0</v>
      </c>
      <c r="Y62" s="52">
        <f t="shared" ref="Y62:AN62" si="48">SUM(Y53,Y55)</f>
        <v>0</v>
      </c>
      <c r="Z62" s="52">
        <f t="shared" si="48"/>
        <v>0</v>
      </c>
      <c r="AA62" s="52">
        <f t="shared" si="48"/>
        <v>0</v>
      </c>
      <c r="AB62" s="52">
        <f t="shared" si="48"/>
        <v>0</v>
      </c>
      <c r="AC62" s="52">
        <f t="shared" si="48"/>
        <v>0</v>
      </c>
      <c r="AD62" s="52">
        <f t="shared" si="48"/>
        <v>0</v>
      </c>
      <c r="AE62" s="52">
        <f t="shared" si="48"/>
        <v>0</v>
      </c>
      <c r="AF62" s="52">
        <f t="shared" si="48"/>
        <v>0</v>
      </c>
      <c r="AG62" s="52">
        <f t="shared" si="48"/>
        <v>0</v>
      </c>
      <c r="AH62" s="52">
        <f t="shared" si="48"/>
        <v>0</v>
      </c>
      <c r="AI62" s="52">
        <f t="shared" si="48"/>
        <v>0</v>
      </c>
      <c r="AJ62" s="52">
        <f t="shared" si="48"/>
        <v>0</v>
      </c>
      <c r="AK62" s="52">
        <f t="shared" si="48"/>
        <v>0</v>
      </c>
      <c r="AL62" s="52">
        <f t="shared" si="48"/>
        <v>0</v>
      </c>
      <c r="AM62" s="52">
        <f t="shared" si="48"/>
        <v>0</v>
      </c>
      <c r="AN62" s="129">
        <f t="shared" si="48"/>
        <v>0</v>
      </c>
    </row>
    <row r="63" spans="1:40" x14ac:dyDescent="0.3">
      <c r="A63" s="51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52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53"/>
    </row>
    <row r="64" spans="1:40" x14ac:dyDescent="0.3">
      <c r="A64" s="51"/>
      <c r="B64" s="128" t="s">
        <v>91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52" t="e">
        <f>X60+X62</f>
        <v>#N/A</v>
      </c>
      <c r="Y64" s="52" t="e">
        <f t="shared" ref="Y64:AN64" si="49">Y60+Y62</f>
        <v>#N/A</v>
      </c>
      <c r="Z64" s="52" t="e">
        <f t="shared" si="49"/>
        <v>#N/A</v>
      </c>
      <c r="AA64" s="52" t="e">
        <f t="shared" si="49"/>
        <v>#N/A</v>
      </c>
      <c r="AB64" s="52" t="e">
        <f t="shared" si="49"/>
        <v>#N/A</v>
      </c>
      <c r="AC64" s="52" t="e">
        <f t="shared" si="49"/>
        <v>#N/A</v>
      </c>
      <c r="AD64" s="52" t="e">
        <f t="shared" si="49"/>
        <v>#N/A</v>
      </c>
      <c r="AE64" s="52" t="e">
        <f t="shared" si="49"/>
        <v>#N/A</v>
      </c>
      <c r="AF64" s="52" t="e">
        <f t="shared" si="49"/>
        <v>#N/A</v>
      </c>
      <c r="AG64" s="52" t="e">
        <f t="shared" si="49"/>
        <v>#N/A</v>
      </c>
      <c r="AH64" s="52" t="e">
        <f t="shared" si="49"/>
        <v>#N/A</v>
      </c>
      <c r="AI64" s="52" t="e">
        <f t="shared" si="49"/>
        <v>#N/A</v>
      </c>
      <c r="AJ64" s="52" t="e">
        <f t="shared" si="49"/>
        <v>#N/A</v>
      </c>
      <c r="AK64" s="52" t="e">
        <f t="shared" si="49"/>
        <v>#N/A</v>
      </c>
      <c r="AL64" s="52" t="e">
        <f t="shared" si="49"/>
        <v>#N/A</v>
      </c>
      <c r="AM64" s="52" t="e">
        <f t="shared" si="49"/>
        <v>#N/A</v>
      </c>
      <c r="AN64" s="129" t="e">
        <f t="shared" si="49"/>
        <v>#N/A</v>
      </c>
    </row>
    <row r="65" spans="1:40" x14ac:dyDescent="0.3">
      <c r="A65" s="51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52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53"/>
    </row>
    <row r="66" spans="1:40" x14ac:dyDescent="0.3">
      <c r="A66" s="51"/>
      <c r="B66" s="128" t="s">
        <v>92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52" t="e">
        <f ca="1">X48</f>
        <v>#NAME?</v>
      </c>
      <c r="Y66" s="52" t="e">
        <f t="shared" ref="Y66:AN66" ca="1" si="50">Y48</f>
        <v>#NAME?</v>
      </c>
      <c r="Z66" s="52" t="e">
        <f t="shared" ca="1" si="50"/>
        <v>#NAME?</v>
      </c>
      <c r="AA66" s="52" t="e">
        <f t="shared" ca="1" si="50"/>
        <v>#NAME?</v>
      </c>
      <c r="AB66" s="52" t="e">
        <f t="shared" ca="1" si="50"/>
        <v>#NAME?</v>
      </c>
      <c r="AC66" s="52" t="e">
        <f t="shared" ca="1" si="50"/>
        <v>#NAME?</v>
      </c>
      <c r="AD66" s="52" t="e">
        <f t="shared" ca="1" si="50"/>
        <v>#NAME?</v>
      </c>
      <c r="AE66" s="52" t="e">
        <f t="shared" ca="1" si="50"/>
        <v>#NAME?</v>
      </c>
      <c r="AF66" s="52" t="e">
        <f t="shared" ca="1" si="50"/>
        <v>#NAME?</v>
      </c>
      <c r="AG66" s="52" t="e">
        <f t="shared" ca="1" si="50"/>
        <v>#NAME?</v>
      </c>
      <c r="AH66" s="52" t="e">
        <f t="shared" ca="1" si="50"/>
        <v>#NAME?</v>
      </c>
      <c r="AI66" s="52" t="e">
        <f t="shared" ca="1" si="50"/>
        <v>#NAME?</v>
      </c>
      <c r="AJ66" s="52" t="e">
        <f t="shared" ca="1" si="50"/>
        <v>#NAME?</v>
      </c>
      <c r="AK66" s="52" t="e">
        <f t="shared" ca="1" si="50"/>
        <v>#NAME?</v>
      </c>
      <c r="AL66" s="52" t="e">
        <f t="shared" ca="1" si="50"/>
        <v>#NAME?</v>
      </c>
      <c r="AM66" s="52" t="e">
        <f t="shared" ca="1" si="50"/>
        <v>#NAME?</v>
      </c>
      <c r="AN66" s="129" t="e">
        <f t="shared" ca="1" si="50"/>
        <v>#NAME?</v>
      </c>
    </row>
    <row r="67" spans="1:40" x14ac:dyDescent="0.3">
      <c r="A67" s="51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52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  <c r="AI67" s="128"/>
      <c r="AJ67" s="128"/>
      <c r="AK67" s="128"/>
      <c r="AL67" s="128"/>
      <c r="AM67" s="128"/>
      <c r="AN67" s="53"/>
    </row>
    <row r="68" spans="1:40" x14ac:dyDescent="0.3">
      <c r="A68" s="51"/>
      <c r="B68" s="128" t="s">
        <v>93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52">
        <f>X58</f>
        <v>0</v>
      </c>
      <c r="Y68" s="52">
        <f t="shared" ref="Y68:AN68" si="51">Y58</f>
        <v>0</v>
      </c>
      <c r="Z68" s="52">
        <f t="shared" si="51"/>
        <v>0</v>
      </c>
      <c r="AA68" s="52">
        <f t="shared" si="51"/>
        <v>0</v>
      </c>
      <c r="AB68" s="52">
        <f t="shared" si="51"/>
        <v>0</v>
      </c>
      <c r="AC68" s="52">
        <f t="shared" si="51"/>
        <v>0</v>
      </c>
      <c r="AD68" s="52">
        <f t="shared" si="51"/>
        <v>0</v>
      </c>
      <c r="AE68" s="52">
        <f t="shared" si="51"/>
        <v>0</v>
      </c>
      <c r="AF68" s="52">
        <f t="shared" si="51"/>
        <v>0</v>
      </c>
      <c r="AG68" s="52">
        <f t="shared" si="51"/>
        <v>0</v>
      </c>
      <c r="AH68" s="52">
        <f t="shared" si="51"/>
        <v>0</v>
      </c>
      <c r="AI68" s="52">
        <f t="shared" si="51"/>
        <v>0</v>
      </c>
      <c r="AJ68" s="52">
        <f t="shared" si="51"/>
        <v>0</v>
      </c>
      <c r="AK68" s="52">
        <f t="shared" si="51"/>
        <v>0</v>
      </c>
      <c r="AL68" s="52">
        <f t="shared" si="51"/>
        <v>0</v>
      </c>
      <c r="AM68" s="52">
        <f t="shared" si="51"/>
        <v>0</v>
      </c>
      <c r="AN68" s="129">
        <f t="shared" si="51"/>
        <v>0</v>
      </c>
    </row>
    <row r="69" spans="1:40" x14ac:dyDescent="0.3">
      <c r="A69" s="51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52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53"/>
    </row>
    <row r="70" spans="1:40" x14ac:dyDescent="0.3">
      <c r="A70" s="51"/>
      <c r="B70" s="128" t="s">
        <v>94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52" t="e">
        <f ca="1">X66+X68</f>
        <v>#NAME?</v>
      </c>
      <c r="Y70" s="52" t="e">
        <f t="shared" ref="Y70:AN70" ca="1" si="52">Y66+Y68</f>
        <v>#NAME?</v>
      </c>
      <c r="Z70" s="52" t="e">
        <f t="shared" ca="1" si="52"/>
        <v>#NAME?</v>
      </c>
      <c r="AA70" s="52" t="e">
        <f t="shared" ca="1" si="52"/>
        <v>#NAME?</v>
      </c>
      <c r="AB70" s="52" t="e">
        <f t="shared" ca="1" si="52"/>
        <v>#NAME?</v>
      </c>
      <c r="AC70" s="52" t="e">
        <f t="shared" ca="1" si="52"/>
        <v>#NAME?</v>
      </c>
      <c r="AD70" s="52" t="e">
        <f t="shared" ca="1" si="52"/>
        <v>#NAME?</v>
      </c>
      <c r="AE70" s="52" t="e">
        <f t="shared" ca="1" si="52"/>
        <v>#NAME?</v>
      </c>
      <c r="AF70" s="52" t="e">
        <f t="shared" ca="1" si="52"/>
        <v>#NAME?</v>
      </c>
      <c r="AG70" s="52" t="e">
        <f t="shared" ca="1" si="52"/>
        <v>#NAME?</v>
      </c>
      <c r="AH70" s="52" t="e">
        <f t="shared" ca="1" si="52"/>
        <v>#NAME?</v>
      </c>
      <c r="AI70" s="52" t="e">
        <f t="shared" ca="1" si="52"/>
        <v>#NAME?</v>
      </c>
      <c r="AJ70" s="52" t="e">
        <f t="shared" ca="1" si="52"/>
        <v>#NAME?</v>
      </c>
      <c r="AK70" s="52" t="e">
        <f t="shared" ca="1" si="52"/>
        <v>#NAME?</v>
      </c>
      <c r="AL70" s="52" t="e">
        <f t="shared" ca="1" si="52"/>
        <v>#NAME?</v>
      </c>
      <c r="AM70" s="52" t="e">
        <f t="shared" ca="1" si="52"/>
        <v>#NAME?</v>
      </c>
      <c r="AN70" s="129" t="e">
        <f t="shared" ca="1" si="52"/>
        <v>#NAME?</v>
      </c>
    </row>
    <row r="71" spans="1:40" x14ac:dyDescent="0.3">
      <c r="A71" s="51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52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53"/>
    </row>
    <row r="72" spans="1:40" x14ac:dyDescent="0.3">
      <c r="A72" s="51"/>
      <c r="B72" s="128" t="s">
        <v>95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52" t="e">
        <f ca="1">X64+X70</f>
        <v>#N/A</v>
      </c>
      <c r="Y72" s="52" t="e">
        <f t="shared" ref="Y72:AN72" ca="1" si="53">Y64+Y70</f>
        <v>#N/A</v>
      </c>
      <c r="Z72" s="52" t="e">
        <f t="shared" ca="1" si="53"/>
        <v>#N/A</v>
      </c>
      <c r="AA72" s="52" t="e">
        <f t="shared" ca="1" si="53"/>
        <v>#N/A</v>
      </c>
      <c r="AB72" s="52" t="e">
        <f t="shared" ca="1" si="53"/>
        <v>#N/A</v>
      </c>
      <c r="AC72" s="52" t="e">
        <f t="shared" ca="1" si="53"/>
        <v>#N/A</v>
      </c>
      <c r="AD72" s="52" t="e">
        <f t="shared" ca="1" si="53"/>
        <v>#N/A</v>
      </c>
      <c r="AE72" s="52" t="e">
        <f t="shared" ca="1" si="53"/>
        <v>#N/A</v>
      </c>
      <c r="AF72" s="52" t="e">
        <f t="shared" ca="1" si="53"/>
        <v>#N/A</v>
      </c>
      <c r="AG72" s="52" t="e">
        <f t="shared" ca="1" si="53"/>
        <v>#N/A</v>
      </c>
      <c r="AH72" s="52" t="e">
        <f t="shared" ca="1" si="53"/>
        <v>#N/A</v>
      </c>
      <c r="AI72" s="52" t="e">
        <f t="shared" ca="1" si="53"/>
        <v>#N/A</v>
      </c>
      <c r="AJ72" s="52" t="e">
        <f t="shared" ca="1" si="53"/>
        <v>#N/A</v>
      </c>
      <c r="AK72" s="52" t="e">
        <f t="shared" ca="1" si="53"/>
        <v>#N/A</v>
      </c>
      <c r="AL72" s="52" t="e">
        <f t="shared" ca="1" si="53"/>
        <v>#N/A</v>
      </c>
      <c r="AM72" s="52" t="e">
        <f t="shared" ca="1" si="53"/>
        <v>#N/A</v>
      </c>
      <c r="AN72" s="129" t="e">
        <f t="shared" ca="1" si="53"/>
        <v>#N/A</v>
      </c>
    </row>
    <row r="73" spans="1:40" x14ac:dyDescent="0.3">
      <c r="A73" s="51"/>
      <c r="B73" s="128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52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53"/>
    </row>
    <row r="74" spans="1:40" x14ac:dyDescent="0.3">
      <c r="A74" s="51"/>
      <c r="B74" s="128" t="s">
        <v>96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52" t="e">
        <f ca="1">X64/X72</f>
        <v>#N/A</v>
      </c>
      <c r="Y74" s="52" t="e">
        <f t="shared" ref="Y74:AN74" ca="1" si="54">Y64/Y72</f>
        <v>#N/A</v>
      </c>
      <c r="Z74" s="52" t="e">
        <f t="shared" ca="1" si="54"/>
        <v>#N/A</v>
      </c>
      <c r="AA74" s="52" t="e">
        <f t="shared" ca="1" si="54"/>
        <v>#N/A</v>
      </c>
      <c r="AB74" s="52" t="e">
        <f t="shared" ca="1" si="54"/>
        <v>#N/A</v>
      </c>
      <c r="AC74" s="52" t="e">
        <f t="shared" ca="1" si="54"/>
        <v>#N/A</v>
      </c>
      <c r="AD74" s="52" t="e">
        <f t="shared" ca="1" si="54"/>
        <v>#N/A</v>
      </c>
      <c r="AE74" s="52" t="e">
        <f t="shared" ca="1" si="54"/>
        <v>#N/A</v>
      </c>
      <c r="AF74" s="52" t="e">
        <f t="shared" ca="1" si="54"/>
        <v>#N/A</v>
      </c>
      <c r="AG74" s="52" t="e">
        <f t="shared" ca="1" si="54"/>
        <v>#N/A</v>
      </c>
      <c r="AH74" s="52" t="e">
        <f t="shared" ca="1" si="54"/>
        <v>#N/A</v>
      </c>
      <c r="AI74" s="52" t="e">
        <f t="shared" ca="1" si="54"/>
        <v>#N/A</v>
      </c>
      <c r="AJ74" s="52" t="e">
        <f t="shared" ca="1" si="54"/>
        <v>#N/A</v>
      </c>
      <c r="AK74" s="52" t="e">
        <f t="shared" ca="1" si="54"/>
        <v>#N/A</v>
      </c>
      <c r="AL74" s="52" t="e">
        <f t="shared" ca="1" si="54"/>
        <v>#N/A</v>
      </c>
      <c r="AM74" s="52" t="e">
        <f t="shared" ca="1" si="54"/>
        <v>#N/A</v>
      </c>
      <c r="AN74" s="129" t="e">
        <f t="shared" ca="1" si="54"/>
        <v>#N/A</v>
      </c>
    </row>
    <row r="75" spans="1:40" x14ac:dyDescent="0.3">
      <c r="A75" s="51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51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3"/>
    </row>
    <row r="76" spans="1:40" ht="15" thickBot="1" x14ac:dyDescent="0.35">
      <c r="A76" s="54"/>
      <c r="B76" s="55" t="s">
        <v>215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130" t="e">
        <f ca="1">IF(X72&gt;0,X72,0)</f>
        <v>#N/A</v>
      </c>
      <c r="Y76" s="131" t="e">
        <f t="shared" ref="Y76:AN76" ca="1" si="55">IF(Y72&gt;0,Y72,0)</f>
        <v>#N/A</v>
      </c>
      <c r="Z76" s="131" t="e">
        <f t="shared" ca="1" si="55"/>
        <v>#N/A</v>
      </c>
      <c r="AA76" s="131" t="e">
        <f t="shared" ca="1" si="55"/>
        <v>#N/A</v>
      </c>
      <c r="AB76" s="131" t="e">
        <f t="shared" ca="1" si="55"/>
        <v>#N/A</v>
      </c>
      <c r="AC76" s="131" t="e">
        <f t="shared" ca="1" si="55"/>
        <v>#N/A</v>
      </c>
      <c r="AD76" s="131" t="e">
        <f t="shared" ca="1" si="55"/>
        <v>#N/A</v>
      </c>
      <c r="AE76" s="131" t="e">
        <f t="shared" ca="1" si="55"/>
        <v>#N/A</v>
      </c>
      <c r="AF76" s="131" t="e">
        <f t="shared" ca="1" si="55"/>
        <v>#N/A</v>
      </c>
      <c r="AG76" s="131" t="e">
        <f t="shared" ca="1" si="55"/>
        <v>#N/A</v>
      </c>
      <c r="AH76" s="131" t="e">
        <f t="shared" ca="1" si="55"/>
        <v>#N/A</v>
      </c>
      <c r="AI76" s="131" t="e">
        <f t="shared" ca="1" si="55"/>
        <v>#N/A</v>
      </c>
      <c r="AJ76" s="131" t="e">
        <f t="shared" ca="1" si="55"/>
        <v>#N/A</v>
      </c>
      <c r="AK76" s="131" t="e">
        <f t="shared" ca="1" si="55"/>
        <v>#N/A</v>
      </c>
      <c r="AL76" s="131" t="e">
        <f t="shared" ca="1" si="55"/>
        <v>#N/A</v>
      </c>
      <c r="AM76" s="131" t="e">
        <f t="shared" ca="1" si="55"/>
        <v>#N/A</v>
      </c>
      <c r="AN76" s="81" t="e">
        <f t="shared" ca="1" si="55"/>
        <v>#N/A</v>
      </c>
    </row>
    <row r="78" spans="1:40" ht="15" thickBot="1" x14ac:dyDescent="0.35"/>
    <row r="79" spans="1:40" x14ac:dyDescent="0.3">
      <c r="B79" s="196" t="s">
        <v>216</v>
      </c>
      <c r="C79" s="208" t="e">
        <f ca="1">SUM(X76:AN76)</f>
        <v>#N/A</v>
      </c>
      <c r="D79" s="209"/>
      <c r="E79" s="133" t="s">
        <v>217</v>
      </c>
    </row>
    <row r="80" spans="1:40" x14ac:dyDescent="0.3">
      <c r="B80" s="197"/>
      <c r="C80" s="210" t="e">
        <f ca="1">C79/1000</f>
        <v>#N/A</v>
      </c>
      <c r="D80" s="210"/>
      <c r="E80" s="136" t="s">
        <v>218</v>
      </c>
      <c r="N80" s="2"/>
      <c r="O80" s="132"/>
      <c r="P80" s="132"/>
      <c r="Q80" s="132"/>
      <c r="R80" s="132"/>
      <c r="S80" s="132"/>
      <c r="T80" s="132"/>
      <c r="U80" s="132"/>
    </row>
    <row r="81" spans="2:21" ht="15" thickBot="1" x14ac:dyDescent="0.35">
      <c r="B81" s="138" t="s">
        <v>228</v>
      </c>
      <c r="C81" s="202" t="e">
        <f ca="1">MAX(X76:AN76)/1000</f>
        <v>#N/A</v>
      </c>
      <c r="D81" s="203"/>
      <c r="E81" s="137" t="s">
        <v>218</v>
      </c>
      <c r="N81" s="2"/>
      <c r="O81" s="132"/>
      <c r="P81" s="132"/>
      <c r="Q81" s="132"/>
      <c r="R81" s="132"/>
      <c r="S81" s="132"/>
      <c r="T81" s="132"/>
      <c r="U81" s="132"/>
    </row>
  </sheetData>
  <mergeCells count="42">
    <mergeCell ref="C81:D81"/>
    <mergeCell ref="G5:J5"/>
    <mergeCell ref="A5:C5"/>
    <mergeCell ref="D5:E5"/>
    <mergeCell ref="A1:Q1"/>
    <mergeCell ref="A2:C2"/>
    <mergeCell ref="D2:E2"/>
    <mergeCell ref="A4:C4"/>
    <mergeCell ref="D4:E4"/>
    <mergeCell ref="A3:C3"/>
    <mergeCell ref="D3:E3"/>
    <mergeCell ref="G2:J2"/>
    <mergeCell ref="G3:J3"/>
    <mergeCell ref="G4:J4"/>
    <mergeCell ref="C79:D79"/>
    <mergeCell ref="C80:D80"/>
    <mergeCell ref="X12:AN12"/>
    <mergeCell ref="G14:W14"/>
    <mergeCell ref="X14:AN14"/>
    <mergeCell ref="G24:W24"/>
    <mergeCell ref="X24:AN24"/>
    <mergeCell ref="B79:B80"/>
    <mergeCell ref="X29:AN29"/>
    <mergeCell ref="G33:W33"/>
    <mergeCell ref="X33:AN33"/>
    <mergeCell ref="X54:AN54"/>
    <mergeCell ref="X57:AN57"/>
    <mergeCell ref="G43:W43"/>
    <mergeCell ref="X43:AN43"/>
    <mergeCell ref="X47:AN47"/>
    <mergeCell ref="G52:W52"/>
    <mergeCell ref="X52:AN52"/>
    <mergeCell ref="G47:W47"/>
    <mergeCell ref="A6:C6"/>
    <mergeCell ref="D6:E6"/>
    <mergeCell ref="G54:W54"/>
    <mergeCell ref="G29:W29"/>
    <mergeCell ref="G12:W12"/>
    <mergeCell ref="A7:C7"/>
    <mergeCell ref="D7:E7"/>
    <mergeCell ref="A8:C8"/>
    <mergeCell ref="D8:E8"/>
  </mergeCells>
  <dataValidations disablePrompts="1" xWindow="763" yWindow="342" count="22">
    <dataValidation allowBlank="1" showInputMessage="1" showErrorMessage="1" prompt=".mouser. com/ applications /lighting_calculations/" sqref="F55" xr:uid="{75553C73-BEA2-4DDE-A216-0E0A01C4C28D}"/>
    <dataValidation allowBlank="1" showInputMessage="1" showErrorMessage="1" prompt="7 persons per 1000 sq. ft (Table 5.3)" sqref="E53 J58" xr:uid="{80F034A6-111A-48B8-9B9C-7AB1F24153C1}"/>
    <dataValidation allowBlank="1" showInputMessage="1" showErrorMessage="1" prompt="Table 4.5" sqref="F53 K58" xr:uid="{53A4A673-86F4-4CC1-A07E-DAF7CAC4025B}"/>
    <dataValidation allowBlank="1" showInputMessage="1" showErrorMessage="1" prompt="Topic 4.2 (People)" sqref="G53:V53" xr:uid="{B79B1462-FD48-4FE4-9753-F1009D1E0CBB}"/>
    <dataValidation allowBlank="1" showInputMessage="1" showErrorMessage="1" prompt="(Tot. floor - Avg. floor) In Sq. m" sqref="D6:E6" xr:uid="{15DEF332-C67A-43FC-9A81-7C543EFD5512}"/>
    <dataValidation allowBlank="1" showInputMessage="1" showErrorMessage="1" prompt="0.25 W/m2 is assumed" sqref="D55" xr:uid="{7C54906F-E7EB-4EBE-8096-B0EA32C8C4E2}"/>
    <dataValidation allowBlank="1" showInputMessage="1" showErrorMessage="1" prompt="Min cfm = 5 (Table 5.3)" sqref="E44 F47" xr:uid="{92B1E7B0-1549-4D13-B028-2F77D2AC19E6}"/>
    <dataValidation allowBlank="1" showInputMessage="1" showErrorMessage="1" prompt="Diversity Factor = 0.5 for people (Table 1.1)" sqref="D52:D53 I57:I58" xr:uid="{69CB490A-6B46-40BE-9039-711D3DEE448D}"/>
    <dataValidation allowBlank="1" showInputMessage="1" showErrorMessage="1" prompt="Diversity Factor = 0.4 for lighting (Table 1.1)" sqref="C54:C55" xr:uid="{CECCE161-E500-4093-9827-0F53557596AA}"/>
    <dataValidation allowBlank="1" showInputMessage="1" showErrorMessage="1" prompt="(Tot. floor - Avg. floor) In Sq. ft" sqref="F6" xr:uid="{714DAD24-64E9-40F5-8C85-FEEC860D21E8}"/>
    <dataValidation allowBlank="1" showInputMessage="1" showErrorMessage="1" prompt="SI Units" sqref="E31 E24:E26" xr:uid="{8FF9797C-AEFF-499A-8275-D9304A0A5C8E}"/>
    <dataValidation allowBlank="1" showInputMessage="1" showErrorMessage="1" prompt="Btu/hr.ft2.F" sqref="E14:E23" xr:uid="{AB37897D-0EC8-47EB-9E3A-5CDA9E319AC2}"/>
    <dataValidation allowBlank="1" showInputMessage="1" showErrorMessage="1" prompt="ft2" sqref="F14:F23 D33 D35:D42" xr:uid="{D65D27F6-3925-4A97-903C-6C7090C50721}"/>
    <dataValidation allowBlank="1" showInputMessage="1" showErrorMessage="1" prompt="W/m²K" sqref="D31 D29 D24:D26" xr:uid="{58E296BD-6646-45ED-9294-7C2887A3A95B}"/>
    <dataValidation allowBlank="1" showInputMessage="1" showErrorMessage="1" prompt="Used the equation with watts" sqref="X52:AN52 X57:AN57" xr:uid="{19D73631-D0D9-4FB1-9DCE-E2A0BA5F5B02}"/>
    <dataValidation allowBlank="1" showInputMessage="1" showErrorMessage="1" prompt="Considered the average lighting wattage*area in wattage field. Therefore, Fraction in use at a given time is 1" sqref="E54:E55" xr:uid="{0E543D15-2BAF-4F17-B277-333103DEDC2C}"/>
    <dataValidation allowBlank="1" showInputMessage="1" showErrorMessage="1" prompt="table 4.2/ a = 0.45_x000a_table 4.3/ b = C" sqref="G54:W55" xr:uid="{234FED74-6F2E-45DA-994D-3B3953353254}"/>
    <dataValidation allowBlank="1" showInputMessage="1" showErrorMessage="1" prompt="0.293071 = BTU to Watt hour" sqref="X33:AN33 X14:AN14 X47:AN47" xr:uid="{3570DBC4-AB9D-4AF5-BCEE-8D68D2CF121D}"/>
    <dataValidation allowBlank="1" showInputMessage="1" showErrorMessage="1" prompt="0.293071 = BTU to Watt hour_x000a_1.8 = C difference to F difference" sqref="X43:AN43" xr:uid="{2C6B452C-82ED-4F5F-842C-D1CE94A415F6}"/>
    <dataValidation allowBlank="1" showInputMessage="1" showErrorMessage="1" prompt="mouser. com /applications/ lighting_calculations/" sqref="F54" xr:uid="{EBDD5178-9793-4AAA-986E-B14861617F37}"/>
    <dataValidation allowBlank="1" showInputMessage="1" showErrorMessage="1" prompt="https://ourworldindata.org/co2/country/sri-lanka" sqref="K2" xr:uid="{73CDDFCE-BD16-4F2E-9A70-C4E292064122}"/>
    <dataValidation allowBlank="1" showInputMessage="1" showErrorMessage="1" prompt="https://ceb.lk/commercial-tariff/en" sqref="K5" xr:uid="{30D92838-C9F8-4F39-8DCD-6F917CF5754A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xWindow="763" yWindow="342" count="2">
        <x14:dataValidation type="list" allowBlank="1" showInputMessage="1" showErrorMessage="1" prompt="Select the nearest city that has similar weather consition" xr:uid="{871E975B-4728-4FD3-9693-57DB710F0737}">
          <x14:formula1>
            <xm:f>City_Details!$A$2:$A$4</xm:f>
          </x14:formula1>
          <xm:sqref>D2:E2</xm:sqref>
        </x14:dataValidation>
        <x14:dataValidation type="list" allowBlank="1" showInputMessage="1" showErrorMessage="1" xr:uid="{9B4C56B8-49B2-4CD9-9554-CB022E9FD0EF}">
          <x14:formula1>
            <xm:f>Wall!$A$2:$A$3</xm:f>
          </x14:formula1>
          <xm:sqref>D3:E3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E5B44-1499-410C-A73E-430D2589C749}">
  <sheetPr codeName="Sheet3"/>
  <dimension ref="A1:BF6"/>
  <sheetViews>
    <sheetView workbookViewId="0"/>
  </sheetViews>
  <sheetFormatPr defaultColWidth="19.21875" defaultRowHeight="14.4" x14ac:dyDescent="0.3"/>
  <cols>
    <col min="1" max="1" width="19.21875" style="90"/>
    <col min="2" max="2" width="21.109375" style="90" customWidth="1"/>
    <col min="3" max="4" width="19.21875" style="90"/>
    <col min="5" max="5" width="21" style="90" customWidth="1"/>
    <col min="6" max="6" width="21.33203125" style="90" customWidth="1"/>
    <col min="7" max="7" width="19.21875" style="90"/>
    <col min="8" max="9" width="4" style="90" customWidth="1"/>
    <col min="10" max="11" width="19.21875" style="90"/>
    <col min="12" max="12" width="21.109375" style="90" customWidth="1"/>
    <col min="13" max="13" width="21" style="90" customWidth="1"/>
    <col min="14" max="14" width="21.33203125" style="90" customWidth="1"/>
    <col min="15" max="15" width="19.21875" style="90"/>
    <col min="16" max="17" width="3.88671875" style="90" customWidth="1"/>
    <col min="18" max="18" width="19.21875" style="90"/>
    <col min="19" max="19" width="21.109375" style="90" customWidth="1"/>
    <col min="20" max="20" width="21" style="90" customWidth="1"/>
    <col min="21" max="21" width="21.33203125" style="90" customWidth="1"/>
    <col min="22" max="22" width="19.21875" style="90"/>
    <col min="23" max="24" width="4.109375" style="90" customWidth="1"/>
    <col min="25" max="25" width="19.21875" style="90"/>
    <col min="26" max="26" width="21.109375" style="90" customWidth="1"/>
    <col min="27" max="27" width="21" style="90" customWidth="1"/>
    <col min="28" max="28" width="21.33203125" style="90" customWidth="1"/>
    <col min="29" max="29" width="19.21875" style="90"/>
    <col min="30" max="31" width="3.33203125" style="90" customWidth="1"/>
    <col min="32" max="32" width="19.21875" style="90"/>
    <col min="33" max="33" width="21.109375" style="90" customWidth="1"/>
    <col min="34" max="34" width="21" style="90" customWidth="1"/>
    <col min="35" max="35" width="21.33203125" style="90" customWidth="1"/>
    <col min="36" max="36" width="19.21875" style="90"/>
    <col min="37" max="53" width="6.77734375" style="90" customWidth="1"/>
    <col min="54" max="55" width="4.88671875" style="90" customWidth="1"/>
    <col min="56" max="56" width="31.5546875" style="90" bestFit="1" customWidth="1"/>
    <col min="57" max="16384" width="19.21875" style="90"/>
  </cols>
  <sheetData>
    <row r="1" spans="1:58" x14ac:dyDescent="0.3">
      <c r="A1" s="90" t="s">
        <v>134</v>
      </c>
      <c r="B1" s="90" t="s">
        <v>137</v>
      </c>
      <c r="C1" s="90" t="s">
        <v>135</v>
      </c>
      <c r="D1" s="90" t="s">
        <v>136</v>
      </c>
      <c r="E1" s="90" t="s">
        <v>219</v>
      </c>
      <c r="F1" s="90" t="s">
        <v>220</v>
      </c>
      <c r="G1" s="90" t="s">
        <v>138</v>
      </c>
      <c r="J1" s="90" t="s">
        <v>147</v>
      </c>
      <c r="K1" s="90" t="s">
        <v>148</v>
      </c>
      <c r="L1" s="90" t="s">
        <v>211</v>
      </c>
      <c r="M1" s="90" t="s">
        <v>219</v>
      </c>
      <c r="N1" s="90" t="s">
        <v>220</v>
      </c>
      <c r="O1" s="90" t="s">
        <v>138</v>
      </c>
      <c r="R1" s="90" t="s">
        <v>152</v>
      </c>
      <c r="S1" s="90" t="s">
        <v>211</v>
      </c>
      <c r="T1" s="90" t="s">
        <v>219</v>
      </c>
      <c r="U1" s="90" t="s">
        <v>220</v>
      </c>
      <c r="V1" s="90" t="s">
        <v>138</v>
      </c>
      <c r="Y1" s="90" t="s">
        <v>153</v>
      </c>
      <c r="Z1" s="90" t="s">
        <v>211</v>
      </c>
      <c r="AA1" s="90" t="s">
        <v>219</v>
      </c>
      <c r="AB1" s="90" t="s">
        <v>220</v>
      </c>
      <c r="AC1" s="90" t="s">
        <v>138</v>
      </c>
      <c r="AF1" s="90" t="s">
        <v>158</v>
      </c>
      <c r="AG1" s="90" t="s">
        <v>137</v>
      </c>
      <c r="AH1" s="90" t="s">
        <v>219</v>
      </c>
      <c r="AI1" s="90" t="s">
        <v>220</v>
      </c>
      <c r="AJ1" s="90" t="s">
        <v>138</v>
      </c>
      <c r="AK1" s="90" t="s">
        <v>162</v>
      </c>
      <c r="AL1" s="90" t="s">
        <v>163</v>
      </c>
      <c r="AM1" s="90" t="s">
        <v>164</v>
      </c>
      <c r="AN1" s="90" t="s">
        <v>165</v>
      </c>
      <c r="AO1" s="90" t="s">
        <v>166</v>
      </c>
      <c r="AP1" s="90" t="s">
        <v>167</v>
      </c>
      <c r="AQ1" s="90" t="s">
        <v>168</v>
      </c>
      <c r="AR1" s="90" t="s">
        <v>169</v>
      </c>
      <c r="AS1" s="90" t="s">
        <v>170</v>
      </c>
      <c r="AT1" s="90" t="s">
        <v>171</v>
      </c>
      <c r="AU1" s="90" t="s">
        <v>172</v>
      </c>
      <c r="AV1" s="90" t="s">
        <v>173</v>
      </c>
      <c r="AW1" s="90" t="s">
        <v>174</v>
      </c>
      <c r="AX1" s="90" t="s">
        <v>175</v>
      </c>
      <c r="AY1" s="90" t="s">
        <v>176</v>
      </c>
      <c r="AZ1" s="90" t="s">
        <v>177</v>
      </c>
      <c r="BA1" s="90" t="s">
        <v>178</v>
      </c>
      <c r="BD1" s="90" t="s">
        <v>221</v>
      </c>
      <c r="BE1" s="90" t="s">
        <v>222</v>
      </c>
      <c r="BF1" s="90" t="s">
        <v>223</v>
      </c>
    </row>
    <row r="2" spans="1:58" x14ac:dyDescent="0.3">
      <c r="A2" s="90" t="s">
        <v>139</v>
      </c>
      <c r="B2" s="90">
        <v>0.05</v>
      </c>
      <c r="C2" s="90" t="s">
        <v>31</v>
      </c>
      <c r="D2" s="90">
        <v>0.1</v>
      </c>
      <c r="E2" s="90">
        <v>5</v>
      </c>
      <c r="F2" s="90">
        <v>0.4</v>
      </c>
      <c r="G2" s="90">
        <v>100</v>
      </c>
      <c r="J2" s="90" t="s">
        <v>149</v>
      </c>
      <c r="K2" s="90">
        <v>0.7</v>
      </c>
      <c r="L2" s="90">
        <v>0.2</v>
      </c>
      <c r="M2" s="90">
        <v>4.5</v>
      </c>
      <c r="N2" s="90">
        <v>4</v>
      </c>
      <c r="O2" s="90">
        <v>1000</v>
      </c>
      <c r="R2" s="90" t="s">
        <v>154</v>
      </c>
      <c r="S2" s="90">
        <v>0.1</v>
      </c>
      <c r="T2" s="90">
        <v>2</v>
      </c>
      <c r="U2" s="90">
        <v>1.5</v>
      </c>
      <c r="V2" s="90">
        <v>250</v>
      </c>
      <c r="Y2" s="90" t="s">
        <v>156</v>
      </c>
      <c r="Z2" s="90">
        <v>0.1</v>
      </c>
      <c r="AA2" s="90">
        <v>2</v>
      </c>
      <c r="AB2" s="90">
        <v>1.4</v>
      </c>
      <c r="AC2" s="90">
        <v>350</v>
      </c>
      <c r="AF2" s="90" t="s">
        <v>159</v>
      </c>
      <c r="AG2" s="90">
        <v>0.21299999999999999</v>
      </c>
      <c r="AH2" s="90">
        <v>3</v>
      </c>
      <c r="AI2" s="90">
        <v>2</v>
      </c>
      <c r="AJ2" s="90">
        <v>150</v>
      </c>
      <c r="AK2" s="90">
        <v>-3</v>
      </c>
      <c r="AL2" s="90">
        <v>-3</v>
      </c>
      <c r="AM2" s="90">
        <v>1</v>
      </c>
      <c r="AN2" s="90">
        <v>9</v>
      </c>
      <c r="AO2" s="90">
        <v>20</v>
      </c>
      <c r="AP2" s="90">
        <v>32</v>
      </c>
      <c r="AQ2" s="90">
        <v>44</v>
      </c>
      <c r="AR2" s="90">
        <v>55</v>
      </c>
      <c r="AS2" s="90">
        <v>64</v>
      </c>
      <c r="AT2" s="90">
        <v>70</v>
      </c>
      <c r="AU2" s="90">
        <v>73</v>
      </c>
      <c r="AV2" s="90">
        <v>71</v>
      </c>
      <c r="AW2" s="90">
        <v>66</v>
      </c>
      <c r="AX2" s="90">
        <v>57</v>
      </c>
      <c r="AY2" s="90">
        <v>45</v>
      </c>
      <c r="AZ2" s="90">
        <v>34</v>
      </c>
      <c r="BA2" s="90">
        <v>25</v>
      </c>
      <c r="BD2" s="90" t="s">
        <v>225</v>
      </c>
      <c r="BE2" s="90">
        <v>7.0339999999999998</v>
      </c>
      <c r="BF2" s="90">
        <v>372800</v>
      </c>
    </row>
    <row r="3" spans="1:58" x14ac:dyDescent="0.3">
      <c r="A3" s="90" t="s">
        <v>140</v>
      </c>
      <c r="B3" s="90">
        <v>0.08</v>
      </c>
      <c r="C3" s="90" t="s">
        <v>75</v>
      </c>
      <c r="D3" s="90">
        <v>0.15</v>
      </c>
      <c r="E3" s="90">
        <v>4</v>
      </c>
      <c r="F3" s="90">
        <v>0.5</v>
      </c>
      <c r="G3" s="90">
        <v>200</v>
      </c>
      <c r="J3" s="90" t="s">
        <v>150</v>
      </c>
      <c r="K3" s="90">
        <v>0.9</v>
      </c>
      <c r="L3" s="90">
        <v>0.4</v>
      </c>
      <c r="M3" s="90">
        <v>3.5</v>
      </c>
      <c r="N3" s="90">
        <v>3</v>
      </c>
      <c r="O3" s="90">
        <v>800</v>
      </c>
      <c r="R3" s="90" t="s">
        <v>155</v>
      </c>
      <c r="S3" s="90">
        <v>0.15</v>
      </c>
      <c r="T3" s="90">
        <v>1</v>
      </c>
      <c r="U3" s="90">
        <v>0.75</v>
      </c>
      <c r="V3" s="90">
        <v>200</v>
      </c>
      <c r="Y3" s="90" t="s">
        <v>157</v>
      </c>
      <c r="Z3" s="90">
        <v>0.5</v>
      </c>
      <c r="AA3" s="90">
        <v>2.25</v>
      </c>
      <c r="AB3" s="90">
        <v>1.65</v>
      </c>
      <c r="AC3" s="90">
        <v>300</v>
      </c>
      <c r="AF3" s="90" t="s">
        <v>160</v>
      </c>
      <c r="AG3" s="90">
        <v>0.20599999999999999</v>
      </c>
      <c r="AH3" s="90">
        <v>3.75</v>
      </c>
      <c r="AI3" s="90">
        <v>1.75</v>
      </c>
      <c r="AJ3" s="90">
        <v>175</v>
      </c>
      <c r="AK3" s="90">
        <v>-1</v>
      </c>
      <c r="AL3" s="90">
        <v>-1</v>
      </c>
      <c r="AM3" s="90">
        <v>3</v>
      </c>
      <c r="AN3" s="90">
        <v>11</v>
      </c>
      <c r="AO3" s="90">
        <v>20</v>
      </c>
      <c r="AP3" s="90">
        <v>30</v>
      </c>
      <c r="AQ3" s="90">
        <v>41</v>
      </c>
      <c r="AR3" s="90">
        <v>51</v>
      </c>
      <c r="AS3" s="90">
        <v>59</v>
      </c>
      <c r="AT3" s="90">
        <v>65</v>
      </c>
      <c r="AU3" s="90">
        <v>66</v>
      </c>
      <c r="AV3" s="90">
        <v>66</v>
      </c>
      <c r="AW3" s="90">
        <v>62</v>
      </c>
      <c r="AX3" s="90">
        <v>54</v>
      </c>
      <c r="AY3" s="90">
        <v>45</v>
      </c>
      <c r="AZ3" s="90">
        <v>36</v>
      </c>
      <c r="BA3" s="90">
        <v>29</v>
      </c>
      <c r="BD3" s="90" t="s">
        <v>226</v>
      </c>
      <c r="BE3" s="90">
        <v>14.067</v>
      </c>
      <c r="BF3" s="90">
        <v>780000</v>
      </c>
    </row>
    <row r="4" spans="1:58" x14ac:dyDescent="0.3">
      <c r="A4" s="90" t="s">
        <v>141</v>
      </c>
      <c r="B4" s="90">
        <v>0.1</v>
      </c>
      <c r="C4" s="90" t="s">
        <v>144</v>
      </c>
      <c r="D4" s="90">
        <v>0.2</v>
      </c>
      <c r="E4" s="90">
        <v>3</v>
      </c>
      <c r="F4" s="90">
        <v>0.1</v>
      </c>
      <c r="G4" s="90">
        <v>125</v>
      </c>
      <c r="J4" s="90" t="s">
        <v>151</v>
      </c>
      <c r="K4" s="90">
        <v>0.8</v>
      </c>
      <c r="L4" s="90">
        <v>0.6</v>
      </c>
      <c r="M4" s="90">
        <v>3</v>
      </c>
      <c r="N4" s="90">
        <v>2</v>
      </c>
      <c r="O4" s="90">
        <v>600</v>
      </c>
      <c r="AF4" s="90" t="s">
        <v>161</v>
      </c>
      <c r="AG4" s="90">
        <v>0.158</v>
      </c>
      <c r="AH4" s="90">
        <v>4.2</v>
      </c>
      <c r="AI4" s="90">
        <v>1.3</v>
      </c>
      <c r="AJ4" s="90">
        <v>130</v>
      </c>
      <c r="AK4" s="90">
        <v>3</v>
      </c>
      <c r="AL4" s="90">
        <v>1</v>
      </c>
      <c r="AM4" s="90">
        <v>1</v>
      </c>
      <c r="AN4" s="90">
        <v>3</v>
      </c>
      <c r="AO4" s="90">
        <v>7</v>
      </c>
      <c r="AP4" s="90">
        <v>15</v>
      </c>
      <c r="AQ4" s="90">
        <v>23</v>
      </c>
      <c r="AR4" s="90">
        <v>33</v>
      </c>
      <c r="AS4" s="90">
        <v>43</v>
      </c>
      <c r="AT4" s="90">
        <v>51</v>
      </c>
      <c r="AU4" s="90">
        <v>58</v>
      </c>
      <c r="AV4" s="90">
        <v>62</v>
      </c>
      <c r="AW4" s="90">
        <v>64</v>
      </c>
      <c r="AX4" s="90">
        <v>62</v>
      </c>
      <c r="AY4" s="90">
        <v>57</v>
      </c>
      <c r="AZ4" s="90">
        <v>50</v>
      </c>
      <c r="BA4" s="90">
        <v>42</v>
      </c>
      <c r="BD4" s="90" t="s">
        <v>224</v>
      </c>
      <c r="BE4" s="90">
        <v>14.067</v>
      </c>
      <c r="BF4" s="90">
        <v>749240</v>
      </c>
    </row>
    <row r="5" spans="1:58" x14ac:dyDescent="0.3">
      <c r="A5" s="90" t="s">
        <v>142</v>
      </c>
      <c r="B5" s="90">
        <v>0.12</v>
      </c>
      <c r="C5" s="90" t="s">
        <v>145</v>
      </c>
      <c r="D5" s="90">
        <v>0.35</v>
      </c>
      <c r="E5" s="90">
        <v>2</v>
      </c>
      <c r="F5" s="90">
        <v>0.3</v>
      </c>
      <c r="G5" s="90">
        <v>150</v>
      </c>
    </row>
    <row r="6" spans="1:58" x14ac:dyDescent="0.3">
      <c r="A6" s="90" t="s">
        <v>143</v>
      </c>
      <c r="B6" s="90">
        <v>0.09</v>
      </c>
      <c r="C6" s="90" t="s">
        <v>146</v>
      </c>
      <c r="D6" s="90">
        <v>0.3</v>
      </c>
      <c r="E6" s="90">
        <v>1</v>
      </c>
      <c r="F6" s="90">
        <v>0.5</v>
      </c>
      <c r="G6" s="90">
        <v>110</v>
      </c>
    </row>
  </sheetData>
  <dataValidations disablePrompts="1" count="3">
    <dataValidation allowBlank="1" showInputMessage="1" showErrorMessage="1" prompt="https://www.singersl.com/panasonic-inverter-air-conditioner-24000btu-cs-xu24xkh-1" sqref="BD2" xr:uid="{1A185F83-6E6A-4A77-818B-08A1D471B3B9}"/>
    <dataValidation allowBlank="1" showInputMessage="1" showErrorMessage="1" prompt="https://www.singersl.com/singer-air-conditioner-ceiling-mounted-inverter-48000-btu" sqref="BD3" xr:uid="{F0396DF3-ABB3-457A-A0F6-B41A47E96D02}"/>
    <dataValidation allowBlank="1" showInputMessage="1" showErrorMessage="1" prompt="https://eprice.lk/air-conditioning/all-offers?order=desc" sqref="BD4" xr:uid="{5A49AE02-6898-41FD-A22F-ABE6556AE17B}"/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A7190-DA68-4040-87F9-8DC8CF75C0D2}">
  <sheetPr codeName="Sheet2"/>
  <dimension ref="A1:BK42"/>
  <sheetViews>
    <sheetView workbookViewId="0"/>
  </sheetViews>
  <sheetFormatPr defaultRowHeight="14.4" x14ac:dyDescent="0.3"/>
  <cols>
    <col min="1" max="1" width="12.44140625" bestFit="1" customWidth="1"/>
    <col min="4" max="4" width="15.44140625" customWidth="1"/>
    <col min="8" max="8" width="5.77734375" customWidth="1"/>
    <col min="9" max="32" width="5.33203125" customWidth="1"/>
    <col min="36" max="60" width="4.5546875" customWidth="1"/>
    <col min="62" max="62" width="15.5546875" style="19" customWidth="1"/>
  </cols>
  <sheetData>
    <row r="1" spans="1:63" ht="15" thickBot="1" x14ac:dyDescent="0.35">
      <c r="A1" s="15" t="s">
        <v>0</v>
      </c>
      <c r="D1" s="6" t="s">
        <v>12</v>
      </c>
      <c r="E1" s="11" t="str">
        <f>Cooling_Load_Calculation!D2</f>
        <v>Colombo</v>
      </c>
      <c r="G1" s="6" t="s">
        <v>13</v>
      </c>
      <c r="H1" s="10">
        <v>0</v>
      </c>
      <c r="I1" s="10">
        <v>1</v>
      </c>
      <c r="J1" s="10">
        <v>2</v>
      </c>
      <c r="K1" s="10">
        <v>3</v>
      </c>
      <c r="L1" s="10">
        <v>4</v>
      </c>
      <c r="M1" s="10">
        <v>5</v>
      </c>
      <c r="N1" s="10">
        <v>6</v>
      </c>
      <c r="O1" s="10">
        <v>7</v>
      </c>
      <c r="P1" s="10">
        <v>8</v>
      </c>
      <c r="Q1" s="10">
        <v>9</v>
      </c>
      <c r="R1" s="10">
        <v>10</v>
      </c>
      <c r="S1" s="10">
        <v>11</v>
      </c>
      <c r="T1" s="10">
        <v>12</v>
      </c>
      <c r="U1" s="10">
        <v>13</v>
      </c>
      <c r="V1" s="10">
        <v>14</v>
      </c>
      <c r="W1" s="10">
        <v>15</v>
      </c>
      <c r="X1" s="10">
        <v>16</v>
      </c>
      <c r="Y1" s="10">
        <v>17</v>
      </c>
      <c r="Z1" s="10">
        <v>18</v>
      </c>
      <c r="AA1" s="10">
        <v>19</v>
      </c>
      <c r="AB1" s="10">
        <v>20</v>
      </c>
      <c r="AC1" s="10">
        <v>21</v>
      </c>
      <c r="AD1" s="10">
        <v>22</v>
      </c>
      <c r="AE1" s="11">
        <v>23</v>
      </c>
      <c r="AF1" s="13"/>
      <c r="AI1" s="16" t="s">
        <v>8</v>
      </c>
      <c r="AJ1" s="211" t="s">
        <v>26</v>
      </c>
      <c r="AK1" s="211"/>
      <c r="AL1" s="211"/>
      <c r="AO1" t="s">
        <v>28</v>
      </c>
    </row>
    <row r="2" spans="1:63" ht="15" thickBot="1" x14ac:dyDescent="0.35">
      <c r="A2" s="16" t="s">
        <v>8</v>
      </c>
      <c r="D2" s="85" t="s">
        <v>179</v>
      </c>
      <c r="E2" s="86"/>
      <c r="G2" s="7" t="s">
        <v>14</v>
      </c>
      <c r="H2" s="2">
        <f>_xlfn.IFS($E$1=$AI$1,AJ3,$E$1=$AI$15,AJ17,$E$1=$AI$29,AJ31)</f>
        <v>25</v>
      </c>
      <c r="I2" s="2">
        <f t="shared" ref="I2:AE2" si="0">_xlfn.IFS($E$1=$AI$1,AK3,$E$1=$AI$15,AK17,$E$1=$AI$29,AK31)</f>
        <v>25</v>
      </c>
      <c r="J2" s="2">
        <f t="shared" si="0"/>
        <v>25</v>
      </c>
      <c r="K2" s="2">
        <f t="shared" si="0"/>
        <v>24</v>
      </c>
      <c r="L2" s="2">
        <f t="shared" si="0"/>
        <v>24</v>
      </c>
      <c r="M2" s="2">
        <f t="shared" si="0"/>
        <v>24</v>
      </c>
      <c r="N2" s="2">
        <f t="shared" si="0"/>
        <v>24</v>
      </c>
      <c r="O2" s="2">
        <f t="shared" si="0"/>
        <v>24</v>
      </c>
      <c r="P2" s="2">
        <f t="shared" si="0"/>
        <v>24</v>
      </c>
      <c r="Q2" s="2">
        <f t="shared" si="0"/>
        <v>28</v>
      </c>
      <c r="R2" s="2">
        <f t="shared" si="0"/>
        <v>28</v>
      </c>
      <c r="S2" s="2">
        <f t="shared" si="0"/>
        <v>28</v>
      </c>
      <c r="T2" s="2">
        <f t="shared" si="0"/>
        <v>33</v>
      </c>
      <c r="U2" s="2">
        <f t="shared" si="0"/>
        <v>33</v>
      </c>
      <c r="V2" s="2">
        <f t="shared" si="0"/>
        <v>33</v>
      </c>
      <c r="W2" s="2">
        <f t="shared" si="0"/>
        <v>30</v>
      </c>
      <c r="X2" s="2">
        <f t="shared" si="0"/>
        <v>30</v>
      </c>
      <c r="Y2" s="2">
        <f t="shared" si="0"/>
        <v>30</v>
      </c>
      <c r="Z2" s="2">
        <f t="shared" si="0"/>
        <v>27</v>
      </c>
      <c r="AA2" s="2">
        <f t="shared" si="0"/>
        <v>27</v>
      </c>
      <c r="AB2" s="2">
        <f t="shared" si="0"/>
        <v>27</v>
      </c>
      <c r="AC2" s="2">
        <f t="shared" si="0"/>
        <v>26</v>
      </c>
      <c r="AD2" s="2">
        <f t="shared" si="0"/>
        <v>26</v>
      </c>
      <c r="AE2" s="3">
        <f t="shared" si="0"/>
        <v>26</v>
      </c>
      <c r="AF2" s="2"/>
      <c r="AI2" s="6" t="s">
        <v>13</v>
      </c>
      <c r="AJ2" s="10">
        <v>0</v>
      </c>
      <c r="AK2" s="10">
        <v>1</v>
      </c>
      <c r="AL2" s="10">
        <v>2</v>
      </c>
      <c r="AM2" s="10">
        <v>3</v>
      </c>
      <c r="AN2" s="10">
        <v>4</v>
      </c>
      <c r="AO2" s="10">
        <v>5</v>
      </c>
      <c r="AP2" s="10">
        <v>6</v>
      </c>
      <c r="AQ2" s="10">
        <v>7</v>
      </c>
      <c r="AR2" s="10">
        <v>8</v>
      </c>
      <c r="AS2" s="10">
        <v>9</v>
      </c>
      <c r="AT2" s="10">
        <v>10</v>
      </c>
      <c r="AU2" s="10">
        <v>11</v>
      </c>
      <c r="AV2" s="10">
        <v>12</v>
      </c>
      <c r="AW2" s="10">
        <v>13</v>
      </c>
      <c r="AX2" s="10">
        <v>14</v>
      </c>
      <c r="AY2" s="10">
        <v>15</v>
      </c>
      <c r="AZ2" s="10">
        <v>16</v>
      </c>
      <c r="BA2" s="10">
        <v>17</v>
      </c>
      <c r="BB2" s="10">
        <v>18</v>
      </c>
      <c r="BC2" s="10">
        <v>19</v>
      </c>
      <c r="BD2" s="10">
        <v>20</v>
      </c>
      <c r="BE2" s="10">
        <v>21</v>
      </c>
      <c r="BF2" s="10">
        <v>22</v>
      </c>
      <c r="BG2" s="11">
        <v>23</v>
      </c>
      <c r="BH2" s="13"/>
      <c r="BJ2" s="62" t="s">
        <v>99</v>
      </c>
      <c r="BK2" s="134" t="s">
        <v>101</v>
      </c>
    </row>
    <row r="3" spans="1:63" x14ac:dyDescent="0.3">
      <c r="A3" s="16" t="s">
        <v>4</v>
      </c>
      <c r="G3" s="8" t="s">
        <v>15</v>
      </c>
      <c r="H3" s="2">
        <f t="shared" ref="H3:H13" si="1">_xlfn.IFS($E$1=$AI$1,AJ4,$E$1=$AI$15,AJ18,$E$1=$AI$29,AJ32)</f>
        <v>24</v>
      </c>
      <c r="I3" s="2">
        <f t="shared" ref="I3:I13" si="2">_xlfn.IFS($E$1=$AI$1,AK4,$E$1=$AI$15,AK18,$E$1=$AI$29,AK32)</f>
        <v>24</v>
      </c>
      <c r="J3" s="2">
        <f t="shared" ref="J3:J13" si="3">_xlfn.IFS($E$1=$AI$1,AL4,$E$1=$AI$15,AL18,$E$1=$AI$29,AL32)</f>
        <v>24</v>
      </c>
      <c r="K3" s="2">
        <f t="shared" ref="K3:K13" si="4">_xlfn.IFS($E$1=$AI$1,AM4,$E$1=$AI$15,AM18,$E$1=$AI$29,AM32)</f>
        <v>23</v>
      </c>
      <c r="L3" s="2">
        <f t="shared" ref="L3:L13" si="5">_xlfn.IFS($E$1=$AI$1,AN4,$E$1=$AI$15,AN18,$E$1=$AI$29,AN32)</f>
        <v>23</v>
      </c>
      <c r="M3" s="2">
        <f t="shared" ref="M3:M13" si="6">_xlfn.IFS($E$1=$AI$1,AO4,$E$1=$AI$15,AO18,$E$1=$AI$29,AO32)</f>
        <v>23</v>
      </c>
      <c r="N3" s="2">
        <f t="shared" ref="N3:N13" si="7">_xlfn.IFS($E$1=$AI$1,AP4,$E$1=$AI$15,AP18,$E$1=$AI$29,AP32)</f>
        <v>23</v>
      </c>
      <c r="O3" s="2">
        <f t="shared" ref="O3:O13" si="8">_xlfn.IFS($E$1=$AI$1,AQ4,$E$1=$AI$15,AQ18,$E$1=$AI$29,AQ32)</f>
        <v>23</v>
      </c>
      <c r="P3" s="2">
        <f t="shared" ref="P3:P13" si="9">_xlfn.IFS($E$1=$AI$1,AR4,$E$1=$AI$15,AR18,$E$1=$AI$29,AR32)</f>
        <v>23</v>
      </c>
      <c r="Q3" s="2">
        <f t="shared" ref="Q3:Q13" si="10">_xlfn.IFS($E$1=$AI$1,AS4,$E$1=$AI$15,AS18,$E$1=$AI$29,AS32)</f>
        <v>26</v>
      </c>
      <c r="R3" s="2">
        <f t="shared" ref="R3:R13" si="11">_xlfn.IFS($E$1=$AI$1,AT4,$E$1=$AI$15,AT18,$E$1=$AI$29,AT32)</f>
        <v>26</v>
      </c>
      <c r="S3" s="2">
        <f t="shared" ref="S3:S13" si="12">_xlfn.IFS($E$1=$AI$1,AU4,$E$1=$AI$15,AU18,$E$1=$AI$29,AU32)</f>
        <v>26</v>
      </c>
      <c r="T3" s="2">
        <f t="shared" ref="T3:T13" si="13">_xlfn.IFS($E$1=$AI$1,AV4,$E$1=$AI$15,AV18,$E$1=$AI$29,AV32)</f>
        <v>33</v>
      </c>
      <c r="U3" s="2">
        <f t="shared" ref="U3:U13" si="14">_xlfn.IFS($E$1=$AI$1,AW4,$E$1=$AI$15,AW18,$E$1=$AI$29,AW32)</f>
        <v>33</v>
      </c>
      <c r="V3" s="2">
        <f t="shared" ref="V3:V13" si="15">_xlfn.IFS($E$1=$AI$1,AX4,$E$1=$AI$15,AX18,$E$1=$AI$29,AX32)</f>
        <v>33</v>
      </c>
      <c r="W3" s="2">
        <f t="shared" ref="W3:W13" si="16">_xlfn.IFS($E$1=$AI$1,AY4,$E$1=$AI$15,AY18,$E$1=$AI$29,AY32)</f>
        <v>29</v>
      </c>
      <c r="X3" s="2">
        <f t="shared" ref="X3:X13" si="17">_xlfn.IFS($E$1=$AI$1,AZ4,$E$1=$AI$15,AZ18,$E$1=$AI$29,AZ32)</f>
        <v>29</v>
      </c>
      <c r="Y3" s="2">
        <f t="shared" ref="Y3:Y13" si="18">_xlfn.IFS($E$1=$AI$1,BA4,$E$1=$AI$15,BA18,$E$1=$AI$29,BA32)</f>
        <v>29</v>
      </c>
      <c r="Z3" s="2">
        <f t="shared" ref="Z3:Z13" si="19">_xlfn.IFS($E$1=$AI$1,BB4,$E$1=$AI$15,BB18,$E$1=$AI$29,BB32)</f>
        <v>26</v>
      </c>
      <c r="AA3" s="2">
        <f t="shared" ref="AA3:AA13" si="20">_xlfn.IFS($E$1=$AI$1,BC4,$E$1=$AI$15,BC18,$E$1=$AI$29,BC32)</f>
        <v>26</v>
      </c>
      <c r="AB3" s="2">
        <f t="shared" ref="AB3:AB13" si="21">_xlfn.IFS($E$1=$AI$1,BD4,$E$1=$AI$15,BD18,$E$1=$AI$29,BD32)</f>
        <v>26</v>
      </c>
      <c r="AC3" s="2">
        <f t="shared" ref="AC3:AC13" si="22">_xlfn.IFS($E$1=$AI$1,BE4,$E$1=$AI$15,BE18,$E$1=$AI$29,BE32)</f>
        <v>25</v>
      </c>
      <c r="AD3" s="2">
        <f t="shared" ref="AD3:AD13" si="23">_xlfn.IFS($E$1=$AI$1,BF4,$E$1=$AI$15,BF18,$E$1=$AI$29,BF32)</f>
        <v>25</v>
      </c>
      <c r="AE3" s="3">
        <f t="shared" ref="AE3:AE13" si="24">_xlfn.IFS($E$1=$AI$1,BG4,$E$1=$AI$15,BG18,$E$1=$AI$29,BG32)</f>
        <v>25</v>
      </c>
      <c r="AF3" s="2"/>
      <c r="AI3" s="7" t="s">
        <v>14</v>
      </c>
      <c r="AJ3" s="2">
        <v>23</v>
      </c>
      <c r="AK3" s="2">
        <v>23</v>
      </c>
      <c r="AL3" s="2">
        <v>23</v>
      </c>
      <c r="AM3" s="12">
        <v>22</v>
      </c>
      <c r="AN3" s="12">
        <v>22</v>
      </c>
      <c r="AO3" s="12">
        <v>22</v>
      </c>
      <c r="AP3" s="2">
        <v>22</v>
      </c>
      <c r="AQ3" s="2">
        <v>22</v>
      </c>
      <c r="AR3" s="2">
        <v>22</v>
      </c>
      <c r="AS3" s="2">
        <v>27</v>
      </c>
      <c r="AT3" s="2">
        <v>27</v>
      </c>
      <c r="AU3" s="2">
        <v>27</v>
      </c>
      <c r="AV3" s="2">
        <v>32</v>
      </c>
      <c r="AW3" s="2">
        <v>32</v>
      </c>
      <c r="AX3" s="2">
        <v>32</v>
      </c>
      <c r="AY3" s="2">
        <v>31</v>
      </c>
      <c r="AZ3" s="2">
        <v>31</v>
      </c>
      <c r="BA3" s="2">
        <v>31</v>
      </c>
      <c r="BB3" s="2">
        <v>26</v>
      </c>
      <c r="BC3" s="2">
        <v>26</v>
      </c>
      <c r="BD3" s="2">
        <v>26</v>
      </c>
      <c r="BE3" s="2">
        <v>23</v>
      </c>
      <c r="BF3" s="2">
        <v>23</v>
      </c>
      <c r="BG3" s="3">
        <v>23</v>
      </c>
      <c r="BH3" s="12"/>
      <c r="BJ3" s="19">
        <v>0.69</v>
      </c>
    </row>
    <row r="4" spans="1:63" ht="15" thickBot="1" x14ac:dyDescent="0.35">
      <c r="A4" s="17" t="s">
        <v>5</v>
      </c>
      <c r="G4" s="8" t="s">
        <v>16</v>
      </c>
      <c r="H4" s="2">
        <f t="shared" si="1"/>
        <v>27</v>
      </c>
      <c r="I4" s="2">
        <f t="shared" si="2"/>
        <v>27</v>
      </c>
      <c r="J4" s="2">
        <f t="shared" si="3"/>
        <v>27</v>
      </c>
      <c r="K4" s="2">
        <f t="shared" si="4"/>
        <v>26</v>
      </c>
      <c r="L4" s="2">
        <f t="shared" si="5"/>
        <v>26</v>
      </c>
      <c r="M4" s="2">
        <f t="shared" si="6"/>
        <v>26</v>
      </c>
      <c r="N4" s="2">
        <f t="shared" si="7"/>
        <v>26</v>
      </c>
      <c r="O4" s="2">
        <f t="shared" si="8"/>
        <v>26</v>
      </c>
      <c r="P4" s="2">
        <f t="shared" si="9"/>
        <v>26</v>
      </c>
      <c r="Q4" s="2">
        <f t="shared" si="10"/>
        <v>28</v>
      </c>
      <c r="R4" s="2">
        <f t="shared" si="11"/>
        <v>28</v>
      </c>
      <c r="S4" s="2">
        <f t="shared" si="12"/>
        <v>28</v>
      </c>
      <c r="T4" s="2">
        <f t="shared" si="13"/>
        <v>31</v>
      </c>
      <c r="U4" s="2">
        <f t="shared" si="14"/>
        <v>31</v>
      </c>
      <c r="V4" s="2">
        <f t="shared" si="15"/>
        <v>31</v>
      </c>
      <c r="W4" s="2">
        <f t="shared" si="16"/>
        <v>29</v>
      </c>
      <c r="X4" s="2">
        <f t="shared" si="17"/>
        <v>29</v>
      </c>
      <c r="Y4" s="2">
        <f t="shared" si="18"/>
        <v>29</v>
      </c>
      <c r="Z4" s="2">
        <f t="shared" si="19"/>
        <v>28</v>
      </c>
      <c r="AA4" s="2">
        <f t="shared" si="20"/>
        <v>28</v>
      </c>
      <c r="AB4" s="2">
        <f t="shared" si="21"/>
        <v>28</v>
      </c>
      <c r="AC4" s="2">
        <f t="shared" si="22"/>
        <v>27</v>
      </c>
      <c r="AD4" s="2">
        <f t="shared" si="23"/>
        <v>27</v>
      </c>
      <c r="AE4" s="3">
        <f t="shared" si="24"/>
        <v>27</v>
      </c>
      <c r="AF4" s="2"/>
      <c r="AI4" s="8" t="s">
        <v>15</v>
      </c>
      <c r="AJ4" s="2">
        <v>21</v>
      </c>
      <c r="AK4" s="2">
        <v>21</v>
      </c>
      <c r="AL4" s="2">
        <v>21</v>
      </c>
      <c r="AM4" s="2">
        <v>21</v>
      </c>
      <c r="AN4" s="2">
        <v>21</v>
      </c>
      <c r="AO4" s="2">
        <v>21</v>
      </c>
      <c r="AP4" s="2">
        <v>20</v>
      </c>
      <c r="AQ4" s="2">
        <v>20</v>
      </c>
      <c r="AR4" s="2">
        <v>20</v>
      </c>
      <c r="AS4" s="2">
        <v>26</v>
      </c>
      <c r="AT4" s="2">
        <v>26</v>
      </c>
      <c r="AU4" s="2">
        <v>26</v>
      </c>
      <c r="AV4" s="2">
        <v>33</v>
      </c>
      <c r="AW4" s="2">
        <v>33</v>
      </c>
      <c r="AX4" s="2">
        <v>33</v>
      </c>
      <c r="AY4" s="2">
        <v>31</v>
      </c>
      <c r="AZ4" s="2">
        <v>31</v>
      </c>
      <c r="BA4" s="2">
        <v>31</v>
      </c>
      <c r="BB4" s="2">
        <v>26</v>
      </c>
      <c r="BC4" s="2">
        <v>26</v>
      </c>
      <c r="BD4" s="2">
        <v>26</v>
      </c>
      <c r="BE4" s="2">
        <v>21</v>
      </c>
      <c r="BF4" s="2">
        <v>21</v>
      </c>
      <c r="BG4" s="3">
        <v>21</v>
      </c>
      <c r="BH4" s="12"/>
      <c r="BJ4" s="62" t="s">
        <v>108</v>
      </c>
      <c r="BK4" s="134" t="s">
        <v>109</v>
      </c>
    </row>
    <row r="5" spans="1:63" x14ac:dyDescent="0.3">
      <c r="G5" s="8" t="s">
        <v>17</v>
      </c>
      <c r="H5" s="2">
        <f t="shared" si="1"/>
        <v>26</v>
      </c>
      <c r="I5" s="2">
        <f t="shared" si="2"/>
        <v>26</v>
      </c>
      <c r="J5" s="2">
        <f t="shared" si="3"/>
        <v>26</v>
      </c>
      <c r="K5" s="2">
        <f t="shared" si="4"/>
        <v>26</v>
      </c>
      <c r="L5" s="2">
        <f t="shared" si="5"/>
        <v>26</v>
      </c>
      <c r="M5" s="2">
        <f t="shared" si="6"/>
        <v>26</v>
      </c>
      <c r="N5" s="2">
        <f t="shared" si="7"/>
        <v>26</v>
      </c>
      <c r="O5" s="2">
        <f t="shared" si="8"/>
        <v>26</v>
      </c>
      <c r="P5" s="2">
        <f t="shared" si="9"/>
        <v>26</v>
      </c>
      <c r="Q5" s="2">
        <f t="shared" si="10"/>
        <v>28</v>
      </c>
      <c r="R5" s="2">
        <f t="shared" si="11"/>
        <v>28</v>
      </c>
      <c r="S5" s="2">
        <f t="shared" si="12"/>
        <v>28</v>
      </c>
      <c r="T5" s="2">
        <f t="shared" si="13"/>
        <v>29</v>
      </c>
      <c r="U5" s="2">
        <f t="shared" si="14"/>
        <v>29</v>
      </c>
      <c r="V5" s="2">
        <f t="shared" si="15"/>
        <v>29</v>
      </c>
      <c r="W5" s="2">
        <f t="shared" si="16"/>
        <v>30</v>
      </c>
      <c r="X5" s="2">
        <f t="shared" si="17"/>
        <v>30</v>
      </c>
      <c r="Y5" s="2">
        <f t="shared" si="18"/>
        <v>30</v>
      </c>
      <c r="Z5" s="2">
        <f t="shared" si="19"/>
        <v>29</v>
      </c>
      <c r="AA5" s="2">
        <f t="shared" si="20"/>
        <v>29</v>
      </c>
      <c r="AB5" s="2">
        <f t="shared" si="21"/>
        <v>29</v>
      </c>
      <c r="AC5" s="2">
        <f t="shared" si="22"/>
        <v>28</v>
      </c>
      <c r="AD5" s="2">
        <f t="shared" si="23"/>
        <v>28</v>
      </c>
      <c r="AE5" s="3">
        <f t="shared" si="24"/>
        <v>28</v>
      </c>
      <c r="AF5" s="2"/>
      <c r="AI5" s="8" t="s">
        <v>16</v>
      </c>
      <c r="AJ5" s="2">
        <v>23</v>
      </c>
      <c r="AK5" s="2">
        <v>23</v>
      </c>
      <c r="AL5" s="2">
        <v>23</v>
      </c>
      <c r="AM5" s="12">
        <v>22</v>
      </c>
      <c r="AN5" s="12">
        <v>22</v>
      </c>
      <c r="AO5" s="12">
        <v>22</v>
      </c>
      <c r="AP5" s="12">
        <v>24</v>
      </c>
      <c r="AQ5" s="12">
        <v>24</v>
      </c>
      <c r="AR5" s="12">
        <v>24</v>
      </c>
      <c r="AS5" s="12">
        <v>29</v>
      </c>
      <c r="AT5" s="12">
        <v>29</v>
      </c>
      <c r="AU5" s="12">
        <v>29</v>
      </c>
      <c r="AV5" s="12">
        <v>32</v>
      </c>
      <c r="AW5" s="12">
        <v>32</v>
      </c>
      <c r="AX5" s="12">
        <v>32</v>
      </c>
      <c r="AY5" s="12">
        <v>31</v>
      </c>
      <c r="AZ5" s="12">
        <v>31</v>
      </c>
      <c r="BA5" s="12">
        <v>31</v>
      </c>
      <c r="BB5" s="12">
        <v>28</v>
      </c>
      <c r="BC5" s="12">
        <v>28</v>
      </c>
      <c r="BD5" s="12">
        <v>28</v>
      </c>
      <c r="BE5" s="12">
        <v>24</v>
      </c>
      <c r="BF5" s="12">
        <v>24</v>
      </c>
      <c r="BG5" s="14">
        <v>24</v>
      </c>
      <c r="BH5" s="12"/>
      <c r="BJ5" s="19">
        <v>99.89</v>
      </c>
    </row>
    <row r="6" spans="1:63" x14ac:dyDescent="0.3">
      <c r="G6" s="8" t="s">
        <v>18</v>
      </c>
      <c r="H6" s="2">
        <f t="shared" si="1"/>
        <v>23</v>
      </c>
      <c r="I6" s="2">
        <f t="shared" si="2"/>
        <v>23</v>
      </c>
      <c r="J6" s="2">
        <f t="shared" si="3"/>
        <v>23</v>
      </c>
      <c r="K6" s="2">
        <f t="shared" si="4"/>
        <v>26</v>
      </c>
      <c r="L6" s="2">
        <f t="shared" si="5"/>
        <v>26</v>
      </c>
      <c r="M6" s="2">
        <f t="shared" si="6"/>
        <v>26</v>
      </c>
      <c r="N6" s="2">
        <f t="shared" si="7"/>
        <v>26</v>
      </c>
      <c r="O6" s="2">
        <f t="shared" si="8"/>
        <v>26</v>
      </c>
      <c r="P6" s="2">
        <f t="shared" si="9"/>
        <v>26</v>
      </c>
      <c r="Q6" s="2">
        <f t="shared" si="10"/>
        <v>26</v>
      </c>
      <c r="R6" s="2">
        <f t="shared" si="11"/>
        <v>26</v>
      </c>
      <c r="S6" s="2">
        <f t="shared" si="12"/>
        <v>26</v>
      </c>
      <c r="T6" s="2">
        <f t="shared" si="13"/>
        <v>26</v>
      </c>
      <c r="U6" s="2">
        <f t="shared" si="14"/>
        <v>26</v>
      </c>
      <c r="V6" s="2">
        <f t="shared" si="15"/>
        <v>26</v>
      </c>
      <c r="W6" s="2">
        <f t="shared" si="16"/>
        <v>25</v>
      </c>
      <c r="X6" s="2">
        <f t="shared" si="17"/>
        <v>25</v>
      </c>
      <c r="Y6" s="2">
        <f t="shared" si="18"/>
        <v>25</v>
      </c>
      <c r="Z6" s="2">
        <f t="shared" si="19"/>
        <v>24</v>
      </c>
      <c r="AA6" s="2">
        <f t="shared" si="20"/>
        <v>24</v>
      </c>
      <c r="AB6" s="2">
        <f t="shared" si="21"/>
        <v>24</v>
      </c>
      <c r="AC6" s="2">
        <f t="shared" si="22"/>
        <v>19</v>
      </c>
      <c r="AD6" s="2">
        <f t="shared" si="23"/>
        <v>19</v>
      </c>
      <c r="AE6" s="3">
        <f t="shared" si="24"/>
        <v>19</v>
      </c>
      <c r="AF6" s="2"/>
      <c r="AI6" s="8" t="s">
        <v>17</v>
      </c>
      <c r="AJ6" s="12">
        <v>25</v>
      </c>
      <c r="AK6" s="12">
        <v>25</v>
      </c>
      <c r="AL6" s="12">
        <v>25</v>
      </c>
      <c r="AM6" s="12">
        <v>24</v>
      </c>
      <c r="AN6" s="12">
        <v>24</v>
      </c>
      <c r="AO6" s="12">
        <v>24</v>
      </c>
      <c r="AP6" s="12">
        <v>25</v>
      </c>
      <c r="AQ6" s="12">
        <v>25</v>
      </c>
      <c r="AR6" s="12">
        <v>25</v>
      </c>
      <c r="AS6" s="12">
        <v>28</v>
      </c>
      <c r="AT6" s="12">
        <v>28</v>
      </c>
      <c r="AU6" s="12">
        <v>28</v>
      </c>
      <c r="AV6" s="12">
        <v>31</v>
      </c>
      <c r="AW6" s="12">
        <v>31</v>
      </c>
      <c r="AX6" s="12">
        <v>31</v>
      </c>
      <c r="AY6" s="12">
        <v>29</v>
      </c>
      <c r="AZ6" s="12">
        <v>29</v>
      </c>
      <c r="BA6" s="12">
        <v>29</v>
      </c>
      <c r="BB6" s="12">
        <v>27</v>
      </c>
      <c r="BC6" s="12">
        <v>27</v>
      </c>
      <c r="BD6" s="12">
        <v>27</v>
      </c>
      <c r="BE6" s="12">
        <v>25</v>
      </c>
      <c r="BF6" s="12">
        <v>25</v>
      </c>
      <c r="BG6" s="14">
        <v>25</v>
      </c>
      <c r="BH6" s="12"/>
    </row>
    <row r="7" spans="1:63" x14ac:dyDescent="0.3">
      <c r="G7" s="8" t="s">
        <v>19</v>
      </c>
      <c r="H7" s="2">
        <f t="shared" si="1"/>
        <v>26</v>
      </c>
      <c r="I7" s="2">
        <f t="shared" si="2"/>
        <v>26</v>
      </c>
      <c r="J7" s="2">
        <f t="shared" si="3"/>
        <v>26</v>
      </c>
      <c r="K7" s="2">
        <f t="shared" si="4"/>
        <v>26</v>
      </c>
      <c r="L7" s="2">
        <f t="shared" si="5"/>
        <v>26</v>
      </c>
      <c r="M7" s="2">
        <f t="shared" si="6"/>
        <v>26</v>
      </c>
      <c r="N7" s="2">
        <f t="shared" si="7"/>
        <v>27</v>
      </c>
      <c r="O7" s="2">
        <f t="shared" si="8"/>
        <v>27</v>
      </c>
      <c r="P7" s="2">
        <f t="shared" si="9"/>
        <v>27</v>
      </c>
      <c r="Q7" s="2">
        <f t="shared" si="10"/>
        <v>28</v>
      </c>
      <c r="R7" s="2">
        <f t="shared" si="11"/>
        <v>28</v>
      </c>
      <c r="S7" s="2">
        <f t="shared" si="12"/>
        <v>28</v>
      </c>
      <c r="T7" s="2">
        <f t="shared" si="13"/>
        <v>29</v>
      </c>
      <c r="U7" s="2">
        <f t="shared" si="14"/>
        <v>29</v>
      </c>
      <c r="V7" s="2">
        <f t="shared" si="15"/>
        <v>29</v>
      </c>
      <c r="W7" s="2">
        <f t="shared" si="16"/>
        <v>29</v>
      </c>
      <c r="X7" s="2">
        <f t="shared" si="17"/>
        <v>29</v>
      </c>
      <c r="Y7" s="2">
        <f t="shared" si="18"/>
        <v>29</v>
      </c>
      <c r="Z7" s="2">
        <f t="shared" si="19"/>
        <v>27</v>
      </c>
      <c r="AA7" s="2">
        <f t="shared" si="20"/>
        <v>27</v>
      </c>
      <c r="AB7" s="2">
        <f t="shared" si="21"/>
        <v>27</v>
      </c>
      <c r="AC7" s="2">
        <f t="shared" si="22"/>
        <v>27</v>
      </c>
      <c r="AD7" s="2">
        <f t="shared" si="23"/>
        <v>27</v>
      </c>
      <c r="AE7" s="3">
        <f t="shared" si="24"/>
        <v>27</v>
      </c>
      <c r="AF7" s="2"/>
      <c r="AI7" s="8" t="s">
        <v>18</v>
      </c>
      <c r="AJ7" s="12">
        <v>25</v>
      </c>
      <c r="AK7" s="12">
        <v>25</v>
      </c>
      <c r="AL7" s="12">
        <v>25</v>
      </c>
      <c r="AM7" s="12">
        <v>25</v>
      </c>
      <c r="AN7" s="12">
        <v>25</v>
      </c>
      <c r="AO7" s="12">
        <v>25</v>
      </c>
      <c r="AP7" s="12">
        <v>26</v>
      </c>
      <c r="AQ7" s="12">
        <v>26</v>
      </c>
      <c r="AR7" s="12">
        <v>26</v>
      </c>
      <c r="AS7" s="12">
        <v>27</v>
      </c>
      <c r="AT7" s="12">
        <v>27</v>
      </c>
      <c r="AU7" s="12">
        <v>27</v>
      </c>
      <c r="AV7" s="12">
        <v>28</v>
      </c>
      <c r="AW7" s="12">
        <v>28</v>
      </c>
      <c r="AX7" s="12">
        <v>28</v>
      </c>
      <c r="AY7" s="12">
        <v>25</v>
      </c>
      <c r="AZ7" s="12">
        <v>25</v>
      </c>
      <c r="BA7" s="12">
        <v>25</v>
      </c>
      <c r="BB7" s="12">
        <v>23</v>
      </c>
      <c r="BC7" s="12">
        <v>23</v>
      </c>
      <c r="BD7" s="12">
        <v>23</v>
      </c>
      <c r="BE7" s="12">
        <v>19</v>
      </c>
      <c r="BF7" s="12">
        <v>19</v>
      </c>
      <c r="BG7" s="14">
        <v>19</v>
      </c>
      <c r="BH7" s="12"/>
    </row>
    <row r="8" spans="1:63" x14ac:dyDescent="0.3">
      <c r="G8" s="8" t="s">
        <v>20</v>
      </c>
      <c r="H8" s="2">
        <f t="shared" si="1"/>
        <v>26</v>
      </c>
      <c r="I8" s="2">
        <f t="shared" si="2"/>
        <v>26</v>
      </c>
      <c r="J8" s="2">
        <f t="shared" si="3"/>
        <v>26</v>
      </c>
      <c r="K8" s="2">
        <f t="shared" si="4"/>
        <v>26</v>
      </c>
      <c r="L8" s="2">
        <f t="shared" si="5"/>
        <v>26</v>
      </c>
      <c r="M8" s="2">
        <f t="shared" si="6"/>
        <v>26</v>
      </c>
      <c r="N8" s="2">
        <f t="shared" si="7"/>
        <v>27</v>
      </c>
      <c r="O8" s="2">
        <f t="shared" si="8"/>
        <v>27</v>
      </c>
      <c r="P8" s="2">
        <f t="shared" si="9"/>
        <v>27</v>
      </c>
      <c r="Q8" s="2">
        <f t="shared" si="10"/>
        <v>28</v>
      </c>
      <c r="R8" s="2">
        <f t="shared" si="11"/>
        <v>28</v>
      </c>
      <c r="S8" s="2">
        <f t="shared" si="12"/>
        <v>28</v>
      </c>
      <c r="T8" s="2">
        <f t="shared" si="13"/>
        <v>28</v>
      </c>
      <c r="U8" s="2">
        <f t="shared" si="14"/>
        <v>28</v>
      </c>
      <c r="V8" s="2">
        <f t="shared" si="15"/>
        <v>28</v>
      </c>
      <c r="W8" s="2">
        <f t="shared" si="16"/>
        <v>28</v>
      </c>
      <c r="X8" s="2">
        <f t="shared" si="17"/>
        <v>28</v>
      </c>
      <c r="Y8" s="2">
        <f t="shared" si="18"/>
        <v>28</v>
      </c>
      <c r="Z8" s="2">
        <f t="shared" si="19"/>
        <v>27</v>
      </c>
      <c r="AA8" s="2">
        <f t="shared" si="20"/>
        <v>27</v>
      </c>
      <c r="AB8" s="2">
        <f t="shared" si="21"/>
        <v>27</v>
      </c>
      <c r="AC8" s="2">
        <f t="shared" si="22"/>
        <v>27</v>
      </c>
      <c r="AD8" s="2">
        <f t="shared" si="23"/>
        <v>27</v>
      </c>
      <c r="AE8" s="3">
        <f t="shared" si="24"/>
        <v>27</v>
      </c>
      <c r="AF8" s="2"/>
      <c r="AI8" s="8" t="s">
        <v>19</v>
      </c>
      <c r="AJ8" s="12">
        <v>26</v>
      </c>
      <c r="AK8" s="12">
        <v>26</v>
      </c>
      <c r="AL8" s="12">
        <v>26</v>
      </c>
      <c r="AM8" s="12">
        <v>26</v>
      </c>
      <c r="AN8" s="12">
        <v>26</v>
      </c>
      <c r="AO8" s="12">
        <v>26</v>
      </c>
      <c r="AP8" s="12">
        <v>26</v>
      </c>
      <c r="AQ8" s="12">
        <v>26</v>
      </c>
      <c r="AR8" s="12">
        <v>26</v>
      </c>
      <c r="AS8" s="12">
        <v>29</v>
      </c>
      <c r="AT8" s="12">
        <v>29</v>
      </c>
      <c r="AU8" s="12">
        <v>29</v>
      </c>
      <c r="AV8" s="12">
        <v>32</v>
      </c>
      <c r="AW8" s="12">
        <v>32</v>
      </c>
      <c r="AX8" s="12">
        <v>32</v>
      </c>
      <c r="AY8" s="12">
        <v>30</v>
      </c>
      <c r="AZ8" s="12">
        <v>30</v>
      </c>
      <c r="BA8" s="12">
        <v>30</v>
      </c>
      <c r="BB8" s="12">
        <v>27</v>
      </c>
      <c r="BC8" s="12">
        <v>27</v>
      </c>
      <c r="BD8" s="12">
        <v>27</v>
      </c>
      <c r="BE8" s="12">
        <v>26</v>
      </c>
      <c r="BF8" s="12">
        <v>26</v>
      </c>
      <c r="BG8" s="14">
        <v>26</v>
      </c>
      <c r="BH8" s="12"/>
    </row>
    <row r="9" spans="1:63" x14ac:dyDescent="0.3">
      <c r="G9" s="8" t="s">
        <v>21</v>
      </c>
      <c r="H9" s="2">
        <f t="shared" si="1"/>
        <v>26</v>
      </c>
      <c r="I9" s="2">
        <f t="shared" si="2"/>
        <v>26</v>
      </c>
      <c r="J9" s="2">
        <f t="shared" si="3"/>
        <v>26</v>
      </c>
      <c r="K9" s="2">
        <f t="shared" si="4"/>
        <v>26</v>
      </c>
      <c r="L9" s="2">
        <f t="shared" si="5"/>
        <v>26</v>
      </c>
      <c r="M9" s="2">
        <f t="shared" si="6"/>
        <v>26</v>
      </c>
      <c r="N9" s="2">
        <f t="shared" si="7"/>
        <v>26</v>
      </c>
      <c r="O9" s="2">
        <f t="shared" si="8"/>
        <v>26</v>
      </c>
      <c r="P9" s="2">
        <f t="shared" si="9"/>
        <v>26</v>
      </c>
      <c r="Q9" s="2">
        <f t="shared" si="10"/>
        <v>27</v>
      </c>
      <c r="R9" s="2">
        <f t="shared" si="11"/>
        <v>27</v>
      </c>
      <c r="S9" s="2">
        <f t="shared" si="12"/>
        <v>27</v>
      </c>
      <c r="T9" s="2">
        <f t="shared" si="13"/>
        <v>27</v>
      </c>
      <c r="U9" s="2">
        <f t="shared" si="14"/>
        <v>27</v>
      </c>
      <c r="V9" s="2">
        <f t="shared" si="15"/>
        <v>27</v>
      </c>
      <c r="W9" s="2">
        <f t="shared" si="16"/>
        <v>27</v>
      </c>
      <c r="X9" s="2">
        <f t="shared" si="17"/>
        <v>27</v>
      </c>
      <c r="Y9" s="2">
        <f t="shared" si="18"/>
        <v>27</v>
      </c>
      <c r="Z9" s="2">
        <f t="shared" si="19"/>
        <v>27</v>
      </c>
      <c r="AA9" s="2">
        <f t="shared" si="20"/>
        <v>27</v>
      </c>
      <c r="AB9" s="2">
        <f t="shared" si="21"/>
        <v>27</v>
      </c>
      <c r="AC9" s="2">
        <f t="shared" si="22"/>
        <v>26</v>
      </c>
      <c r="AD9" s="2">
        <f t="shared" si="23"/>
        <v>26</v>
      </c>
      <c r="AE9" s="3">
        <f t="shared" si="24"/>
        <v>26</v>
      </c>
      <c r="AF9" s="2"/>
      <c r="AI9" s="8" t="s">
        <v>20</v>
      </c>
      <c r="AJ9" s="12">
        <v>25</v>
      </c>
      <c r="AK9" s="12">
        <v>25</v>
      </c>
      <c r="AL9" s="12">
        <v>25</v>
      </c>
      <c r="AM9" s="12">
        <v>25</v>
      </c>
      <c r="AN9" s="12">
        <v>25</v>
      </c>
      <c r="AO9" s="12">
        <v>25</v>
      </c>
      <c r="AP9" s="12">
        <v>26</v>
      </c>
      <c r="AQ9" s="12">
        <v>26</v>
      </c>
      <c r="AR9" s="12">
        <v>26</v>
      </c>
      <c r="AS9" s="12">
        <v>30</v>
      </c>
      <c r="AT9" s="12">
        <v>30</v>
      </c>
      <c r="AU9" s="12">
        <v>30</v>
      </c>
      <c r="AV9" s="12">
        <v>33</v>
      </c>
      <c r="AW9" s="12">
        <v>33</v>
      </c>
      <c r="AX9" s="12">
        <v>33</v>
      </c>
      <c r="AY9" s="12">
        <v>32</v>
      </c>
      <c r="AZ9" s="12">
        <v>32</v>
      </c>
      <c r="BA9" s="12">
        <v>32</v>
      </c>
      <c r="BB9" s="12">
        <v>29</v>
      </c>
      <c r="BC9" s="12">
        <v>29</v>
      </c>
      <c r="BD9" s="12">
        <v>29</v>
      </c>
      <c r="BE9" s="12">
        <v>26</v>
      </c>
      <c r="BF9" s="12">
        <v>26</v>
      </c>
      <c r="BG9" s="14">
        <v>26</v>
      </c>
      <c r="BH9" s="12"/>
    </row>
    <row r="10" spans="1:63" x14ac:dyDescent="0.3">
      <c r="G10" s="8" t="s">
        <v>22</v>
      </c>
      <c r="H10" s="2">
        <f t="shared" si="1"/>
        <v>25</v>
      </c>
      <c r="I10" s="2">
        <f t="shared" si="2"/>
        <v>25</v>
      </c>
      <c r="J10" s="2">
        <f t="shared" si="3"/>
        <v>25</v>
      </c>
      <c r="K10" s="2">
        <f t="shared" si="4"/>
        <v>25</v>
      </c>
      <c r="L10" s="2">
        <f t="shared" si="5"/>
        <v>25</v>
      </c>
      <c r="M10" s="2">
        <f t="shared" si="6"/>
        <v>25</v>
      </c>
      <c r="N10" s="2">
        <f t="shared" si="7"/>
        <v>25</v>
      </c>
      <c r="O10" s="2">
        <f t="shared" si="8"/>
        <v>25</v>
      </c>
      <c r="P10" s="2">
        <f t="shared" si="9"/>
        <v>25</v>
      </c>
      <c r="Q10" s="2">
        <f t="shared" si="10"/>
        <v>28</v>
      </c>
      <c r="R10" s="2">
        <f t="shared" si="11"/>
        <v>28</v>
      </c>
      <c r="S10" s="2">
        <f t="shared" si="12"/>
        <v>28</v>
      </c>
      <c r="T10" s="2">
        <f t="shared" si="13"/>
        <v>28</v>
      </c>
      <c r="U10" s="2">
        <f t="shared" si="14"/>
        <v>28</v>
      </c>
      <c r="V10" s="2">
        <f t="shared" si="15"/>
        <v>28</v>
      </c>
      <c r="W10" s="2">
        <f t="shared" si="16"/>
        <v>28</v>
      </c>
      <c r="X10" s="2">
        <f t="shared" si="17"/>
        <v>28</v>
      </c>
      <c r="Y10" s="2">
        <f t="shared" si="18"/>
        <v>28</v>
      </c>
      <c r="Z10" s="2">
        <f t="shared" si="19"/>
        <v>26</v>
      </c>
      <c r="AA10" s="2">
        <f t="shared" si="20"/>
        <v>26</v>
      </c>
      <c r="AB10" s="2">
        <f t="shared" si="21"/>
        <v>26</v>
      </c>
      <c r="AC10" s="2">
        <f t="shared" si="22"/>
        <v>26</v>
      </c>
      <c r="AD10" s="2">
        <f t="shared" si="23"/>
        <v>26</v>
      </c>
      <c r="AE10" s="3">
        <f t="shared" si="24"/>
        <v>26</v>
      </c>
      <c r="AF10" s="2"/>
      <c r="AI10" s="8" t="s">
        <v>21</v>
      </c>
      <c r="AJ10" s="12">
        <v>25</v>
      </c>
      <c r="AK10" s="12">
        <v>25</v>
      </c>
      <c r="AL10" s="12">
        <v>25</v>
      </c>
      <c r="AM10" s="12">
        <v>25</v>
      </c>
      <c r="AN10" s="12">
        <v>25</v>
      </c>
      <c r="AO10" s="12">
        <v>25</v>
      </c>
      <c r="AP10" s="12">
        <v>26</v>
      </c>
      <c r="AQ10" s="12">
        <v>26</v>
      </c>
      <c r="AR10" s="12">
        <v>26</v>
      </c>
      <c r="AS10" s="12">
        <v>28</v>
      </c>
      <c r="AT10" s="12">
        <v>28</v>
      </c>
      <c r="AU10" s="12">
        <v>28</v>
      </c>
      <c r="AV10" s="12">
        <v>29</v>
      </c>
      <c r="AW10" s="12">
        <v>29</v>
      </c>
      <c r="AX10" s="12">
        <v>29</v>
      </c>
      <c r="AY10" s="12">
        <v>27</v>
      </c>
      <c r="AZ10" s="12">
        <v>27</v>
      </c>
      <c r="BA10" s="12">
        <v>27</v>
      </c>
      <c r="BB10" s="12">
        <v>27</v>
      </c>
      <c r="BC10" s="12">
        <v>27</v>
      </c>
      <c r="BD10" s="12">
        <v>27</v>
      </c>
      <c r="BE10" s="12">
        <v>25</v>
      </c>
      <c r="BF10" s="12">
        <v>25</v>
      </c>
      <c r="BG10" s="14">
        <v>25</v>
      </c>
      <c r="BH10" s="12"/>
    </row>
    <row r="11" spans="1:63" x14ac:dyDescent="0.3">
      <c r="G11" s="8" t="s">
        <v>23</v>
      </c>
      <c r="H11" s="2">
        <f t="shared" si="1"/>
        <v>26</v>
      </c>
      <c r="I11" s="2">
        <f t="shared" si="2"/>
        <v>26</v>
      </c>
      <c r="J11" s="2">
        <f t="shared" si="3"/>
        <v>26</v>
      </c>
      <c r="K11" s="2">
        <f t="shared" si="4"/>
        <v>26</v>
      </c>
      <c r="L11" s="2">
        <f t="shared" si="5"/>
        <v>26</v>
      </c>
      <c r="M11" s="2">
        <f t="shared" si="6"/>
        <v>26</v>
      </c>
      <c r="N11" s="2">
        <f t="shared" si="7"/>
        <v>26</v>
      </c>
      <c r="O11" s="2">
        <f t="shared" si="8"/>
        <v>26</v>
      </c>
      <c r="P11" s="2">
        <f t="shared" si="9"/>
        <v>26</v>
      </c>
      <c r="Q11" s="2">
        <f t="shared" si="10"/>
        <v>28</v>
      </c>
      <c r="R11" s="2">
        <f t="shared" si="11"/>
        <v>28</v>
      </c>
      <c r="S11" s="2">
        <f t="shared" si="12"/>
        <v>28</v>
      </c>
      <c r="T11" s="2">
        <f t="shared" si="13"/>
        <v>30</v>
      </c>
      <c r="U11" s="2">
        <f t="shared" si="14"/>
        <v>30</v>
      </c>
      <c r="V11" s="2">
        <f t="shared" si="15"/>
        <v>30</v>
      </c>
      <c r="W11" s="2">
        <f t="shared" si="16"/>
        <v>28</v>
      </c>
      <c r="X11" s="2">
        <f t="shared" si="17"/>
        <v>28</v>
      </c>
      <c r="Y11" s="2">
        <f t="shared" si="18"/>
        <v>28</v>
      </c>
      <c r="Z11" s="2">
        <f t="shared" si="19"/>
        <v>26</v>
      </c>
      <c r="AA11" s="2">
        <f t="shared" si="20"/>
        <v>26</v>
      </c>
      <c r="AB11" s="2">
        <f t="shared" si="21"/>
        <v>26</v>
      </c>
      <c r="AC11" s="2">
        <f t="shared" si="22"/>
        <v>26</v>
      </c>
      <c r="AD11" s="2">
        <f t="shared" si="23"/>
        <v>26</v>
      </c>
      <c r="AE11" s="3">
        <f t="shared" si="24"/>
        <v>26</v>
      </c>
      <c r="AF11" s="2"/>
      <c r="AI11" s="8" t="s">
        <v>22</v>
      </c>
      <c r="AJ11" s="12">
        <v>26</v>
      </c>
      <c r="AK11" s="12">
        <v>26</v>
      </c>
      <c r="AL11" s="12">
        <v>26</v>
      </c>
      <c r="AM11" s="12">
        <v>26</v>
      </c>
      <c r="AN11" s="12">
        <v>26</v>
      </c>
      <c r="AO11" s="12">
        <v>26</v>
      </c>
      <c r="AP11" s="12">
        <v>25</v>
      </c>
      <c r="AQ11" s="12">
        <v>25</v>
      </c>
      <c r="AR11" s="12">
        <v>25</v>
      </c>
      <c r="AS11" s="12">
        <v>31</v>
      </c>
      <c r="AT11" s="12">
        <v>31</v>
      </c>
      <c r="AU11" s="12">
        <v>31</v>
      </c>
      <c r="AV11" s="12">
        <v>35</v>
      </c>
      <c r="AW11" s="12">
        <v>35</v>
      </c>
      <c r="AX11" s="12">
        <v>35</v>
      </c>
      <c r="AY11" s="12">
        <v>33</v>
      </c>
      <c r="AZ11" s="12">
        <v>33</v>
      </c>
      <c r="BA11" s="12">
        <v>33</v>
      </c>
      <c r="BB11" s="12">
        <v>28</v>
      </c>
      <c r="BC11" s="12">
        <v>28</v>
      </c>
      <c r="BD11" s="12">
        <v>28</v>
      </c>
      <c r="BE11" s="12">
        <v>27</v>
      </c>
      <c r="BF11" s="12">
        <v>27</v>
      </c>
      <c r="BG11" s="14">
        <v>27</v>
      </c>
      <c r="BH11" s="12"/>
    </row>
    <row r="12" spans="1:63" x14ac:dyDescent="0.3">
      <c r="G12" s="8" t="s">
        <v>24</v>
      </c>
      <c r="H12" s="2">
        <f t="shared" si="1"/>
        <v>25</v>
      </c>
      <c r="I12" s="2">
        <f t="shared" si="2"/>
        <v>25</v>
      </c>
      <c r="J12" s="2">
        <f t="shared" si="3"/>
        <v>25</v>
      </c>
      <c r="K12" s="2">
        <f t="shared" si="4"/>
        <v>26</v>
      </c>
      <c r="L12" s="2">
        <f t="shared" si="5"/>
        <v>26</v>
      </c>
      <c r="M12" s="2">
        <f t="shared" si="6"/>
        <v>26</v>
      </c>
      <c r="N12" s="2">
        <f t="shared" si="7"/>
        <v>26</v>
      </c>
      <c r="O12" s="2">
        <f t="shared" si="8"/>
        <v>26</v>
      </c>
      <c r="P12" s="2">
        <f t="shared" si="9"/>
        <v>26</v>
      </c>
      <c r="Q12" s="2">
        <f t="shared" si="10"/>
        <v>28</v>
      </c>
      <c r="R12" s="2">
        <f t="shared" si="11"/>
        <v>28</v>
      </c>
      <c r="S12" s="2">
        <f t="shared" si="12"/>
        <v>28</v>
      </c>
      <c r="T12" s="2">
        <f t="shared" si="13"/>
        <v>30</v>
      </c>
      <c r="U12" s="2">
        <f t="shared" si="14"/>
        <v>30</v>
      </c>
      <c r="V12" s="2">
        <f t="shared" si="15"/>
        <v>30</v>
      </c>
      <c r="W12" s="2">
        <f t="shared" si="16"/>
        <v>28</v>
      </c>
      <c r="X12" s="2">
        <f t="shared" si="17"/>
        <v>28</v>
      </c>
      <c r="Y12" s="2">
        <f t="shared" si="18"/>
        <v>28</v>
      </c>
      <c r="Z12" s="2">
        <f t="shared" si="19"/>
        <v>26</v>
      </c>
      <c r="AA12" s="2">
        <f t="shared" si="20"/>
        <v>26</v>
      </c>
      <c r="AB12" s="2">
        <f t="shared" si="21"/>
        <v>26</v>
      </c>
      <c r="AC12" s="2">
        <f t="shared" si="22"/>
        <v>26</v>
      </c>
      <c r="AD12" s="2">
        <f t="shared" si="23"/>
        <v>26</v>
      </c>
      <c r="AE12" s="3">
        <f t="shared" si="24"/>
        <v>26</v>
      </c>
      <c r="AF12" s="2"/>
      <c r="AI12" s="8" t="s">
        <v>23</v>
      </c>
      <c r="AJ12" s="12">
        <v>26</v>
      </c>
      <c r="AK12" s="12">
        <v>26</v>
      </c>
      <c r="AL12" s="12">
        <v>26</v>
      </c>
      <c r="AM12" s="12">
        <v>25</v>
      </c>
      <c r="AN12" s="12">
        <v>25</v>
      </c>
      <c r="AO12" s="12">
        <v>25</v>
      </c>
      <c r="AP12" s="12">
        <v>25</v>
      </c>
      <c r="AQ12" s="12">
        <v>25</v>
      </c>
      <c r="AR12" s="12">
        <v>25</v>
      </c>
      <c r="AS12" s="12">
        <v>30</v>
      </c>
      <c r="AT12" s="12">
        <v>30</v>
      </c>
      <c r="AU12" s="12">
        <v>30</v>
      </c>
      <c r="AV12" s="12">
        <v>32</v>
      </c>
      <c r="AW12" s="12">
        <v>32</v>
      </c>
      <c r="AX12" s="12">
        <v>32</v>
      </c>
      <c r="AY12" s="12">
        <v>31</v>
      </c>
      <c r="AZ12" s="12">
        <v>31</v>
      </c>
      <c r="BA12" s="12">
        <v>31</v>
      </c>
      <c r="BB12" s="12">
        <v>27</v>
      </c>
      <c r="BC12" s="12">
        <v>27</v>
      </c>
      <c r="BD12" s="12">
        <v>27</v>
      </c>
      <c r="BE12" s="12">
        <v>26</v>
      </c>
      <c r="BF12" s="12">
        <v>26</v>
      </c>
      <c r="BG12" s="14">
        <v>26</v>
      </c>
      <c r="BH12" s="12"/>
    </row>
    <row r="13" spans="1:63" ht="15" thickBot="1" x14ac:dyDescent="0.35">
      <c r="A13" s="1" t="s">
        <v>30</v>
      </c>
      <c r="G13" s="9" t="s">
        <v>25</v>
      </c>
      <c r="H13" s="4">
        <f t="shared" si="1"/>
        <v>24</v>
      </c>
      <c r="I13" s="4">
        <f t="shared" si="2"/>
        <v>24</v>
      </c>
      <c r="J13" s="4">
        <f t="shared" si="3"/>
        <v>24</v>
      </c>
      <c r="K13" s="4">
        <f t="shared" si="4"/>
        <v>24</v>
      </c>
      <c r="L13" s="4">
        <f t="shared" si="5"/>
        <v>24</v>
      </c>
      <c r="M13" s="4">
        <f t="shared" si="6"/>
        <v>24</v>
      </c>
      <c r="N13" s="4">
        <f t="shared" si="7"/>
        <v>24</v>
      </c>
      <c r="O13" s="4">
        <f t="shared" si="8"/>
        <v>24</v>
      </c>
      <c r="P13" s="4">
        <f t="shared" si="9"/>
        <v>24</v>
      </c>
      <c r="Q13" s="4">
        <f t="shared" si="10"/>
        <v>25</v>
      </c>
      <c r="R13" s="4">
        <f t="shared" si="11"/>
        <v>25</v>
      </c>
      <c r="S13" s="4">
        <f t="shared" si="12"/>
        <v>25</v>
      </c>
      <c r="T13" s="4">
        <f t="shared" si="13"/>
        <v>25</v>
      </c>
      <c r="U13" s="4">
        <f t="shared" si="14"/>
        <v>25</v>
      </c>
      <c r="V13" s="4">
        <f t="shared" si="15"/>
        <v>25</v>
      </c>
      <c r="W13" s="4">
        <f t="shared" si="16"/>
        <v>26</v>
      </c>
      <c r="X13" s="4">
        <f t="shared" si="17"/>
        <v>26</v>
      </c>
      <c r="Y13" s="4">
        <f t="shared" si="18"/>
        <v>26</v>
      </c>
      <c r="Z13" s="4">
        <f t="shared" si="19"/>
        <v>25</v>
      </c>
      <c r="AA13" s="4">
        <f t="shared" si="20"/>
        <v>25</v>
      </c>
      <c r="AB13" s="4">
        <f t="shared" si="21"/>
        <v>25</v>
      </c>
      <c r="AC13" s="4">
        <f t="shared" si="22"/>
        <v>24</v>
      </c>
      <c r="AD13" s="4">
        <f t="shared" si="23"/>
        <v>24</v>
      </c>
      <c r="AE13" s="5">
        <f t="shared" si="24"/>
        <v>24</v>
      </c>
      <c r="AF13" s="2"/>
      <c r="AI13" s="8" t="s">
        <v>24</v>
      </c>
      <c r="AJ13" s="12">
        <v>24</v>
      </c>
      <c r="AK13" s="12">
        <v>24</v>
      </c>
      <c r="AL13" s="12">
        <v>24</v>
      </c>
      <c r="AM13" s="12">
        <v>24</v>
      </c>
      <c r="AN13" s="12">
        <v>24</v>
      </c>
      <c r="AO13" s="12">
        <v>24</v>
      </c>
      <c r="AP13" s="12">
        <v>23</v>
      </c>
      <c r="AQ13" s="12">
        <v>23</v>
      </c>
      <c r="AR13" s="12">
        <v>23</v>
      </c>
      <c r="AS13" s="12">
        <v>27</v>
      </c>
      <c r="AT13" s="12">
        <v>27</v>
      </c>
      <c r="AU13" s="12">
        <v>27</v>
      </c>
      <c r="AV13" s="12">
        <v>28</v>
      </c>
      <c r="AW13" s="12">
        <v>28</v>
      </c>
      <c r="AX13" s="12">
        <v>28</v>
      </c>
      <c r="AY13" s="12">
        <v>27</v>
      </c>
      <c r="AZ13" s="12">
        <v>27</v>
      </c>
      <c r="BA13" s="12">
        <v>27</v>
      </c>
      <c r="BB13" s="12">
        <v>25</v>
      </c>
      <c r="BC13" s="12">
        <v>25</v>
      </c>
      <c r="BD13" s="12">
        <v>25</v>
      </c>
      <c r="BE13" s="12">
        <v>24</v>
      </c>
      <c r="BF13" s="12">
        <v>24</v>
      </c>
      <c r="BG13" s="14">
        <v>24</v>
      </c>
      <c r="BH13" s="12"/>
    </row>
    <row r="14" spans="1:63" ht="15" thickBot="1" x14ac:dyDescent="0.35">
      <c r="A14" s="18" t="s">
        <v>7</v>
      </c>
      <c r="AI14" s="9" t="s">
        <v>25</v>
      </c>
      <c r="AJ14" s="4">
        <v>23</v>
      </c>
      <c r="AK14" s="4">
        <v>23</v>
      </c>
      <c r="AL14" s="4">
        <v>23</v>
      </c>
      <c r="AM14" s="4">
        <v>23</v>
      </c>
      <c r="AN14" s="4">
        <v>23</v>
      </c>
      <c r="AO14" s="4">
        <v>23</v>
      </c>
      <c r="AP14" s="4">
        <v>23</v>
      </c>
      <c r="AQ14" s="4">
        <v>23</v>
      </c>
      <c r="AR14" s="4">
        <v>23</v>
      </c>
      <c r="AS14" s="4">
        <v>25</v>
      </c>
      <c r="AT14" s="4">
        <v>25</v>
      </c>
      <c r="AU14" s="4">
        <v>25</v>
      </c>
      <c r="AV14" s="4">
        <v>26</v>
      </c>
      <c r="AW14" s="4">
        <v>26</v>
      </c>
      <c r="AX14" s="4">
        <v>26</v>
      </c>
      <c r="AY14" s="4">
        <v>24</v>
      </c>
      <c r="AZ14" s="4">
        <v>24</v>
      </c>
      <c r="BA14" s="4">
        <v>24</v>
      </c>
      <c r="BB14" s="4">
        <v>23</v>
      </c>
      <c r="BC14" s="4">
        <v>23</v>
      </c>
      <c r="BD14" s="4">
        <v>23</v>
      </c>
      <c r="BE14" s="4">
        <v>23</v>
      </c>
      <c r="BF14" s="4">
        <v>23</v>
      </c>
      <c r="BG14" s="5">
        <v>23</v>
      </c>
      <c r="BH14" s="12"/>
    </row>
    <row r="15" spans="1:63" ht="15" thickBot="1" x14ac:dyDescent="0.35">
      <c r="A15" s="18" t="s">
        <v>1</v>
      </c>
      <c r="G15" s="79" t="s">
        <v>103</v>
      </c>
      <c r="H15" s="80">
        <f>_xlfn.IFS($E$1=$AI$1,BJ3,$E$1=$AI$15,BJ17,$E$1=$AI$29,BJ31)</f>
        <v>0.74</v>
      </c>
      <c r="AI15" s="16" t="s">
        <v>4</v>
      </c>
      <c r="AJ15" s="211" t="s">
        <v>26</v>
      </c>
      <c r="AK15" s="211"/>
      <c r="AL15" s="211"/>
      <c r="AO15" t="s">
        <v>97</v>
      </c>
    </row>
    <row r="16" spans="1:63" ht="15" thickBot="1" x14ac:dyDescent="0.35">
      <c r="A16" s="18" t="s">
        <v>9</v>
      </c>
      <c r="G16" s="9" t="s">
        <v>110</v>
      </c>
      <c r="H16" s="81">
        <f>_xlfn.IFS($E$1=$AI$1,BJ5,$E$1=$AI$15,BJ19,$E$1=$AI$29,BJ33)</f>
        <v>100.8</v>
      </c>
      <c r="AI16" s="6" t="s">
        <v>13</v>
      </c>
      <c r="AJ16" s="10">
        <v>0</v>
      </c>
      <c r="AK16" s="10">
        <v>1</v>
      </c>
      <c r="AL16" s="10">
        <v>2</v>
      </c>
      <c r="AM16" s="10">
        <v>3</v>
      </c>
      <c r="AN16" s="10">
        <v>4</v>
      </c>
      <c r="AO16" s="10">
        <v>5</v>
      </c>
      <c r="AP16" s="10">
        <v>6</v>
      </c>
      <c r="AQ16" s="10">
        <v>7</v>
      </c>
      <c r="AR16" s="10">
        <v>8</v>
      </c>
      <c r="AS16" s="10">
        <v>9</v>
      </c>
      <c r="AT16" s="10">
        <v>10</v>
      </c>
      <c r="AU16" s="10">
        <v>11</v>
      </c>
      <c r="AV16" s="10">
        <v>12</v>
      </c>
      <c r="AW16" s="10">
        <v>13</v>
      </c>
      <c r="AX16" s="10">
        <v>14</v>
      </c>
      <c r="AY16" s="10">
        <v>15</v>
      </c>
      <c r="AZ16" s="10">
        <v>16</v>
      </c>
      <c r="BA16" s="10">
        <v>17</v>
      </c>
      <c r="BB16" s="10">
        <v>18</v>
      </c>
      <c r="BC16" s="10">
        <v>19</v>
      </c>
      <c r="BD16" s="10">
        <v>20</v>
      </c>
      <c r="BE16" s="10">
        <v>21</v>
      </c>
      <c r="BF16" s="10">
        <v>22</v>
      </c>
      <c r="BG16" s="11">
        <v>23</v>
      </c>
      <c r="BH16" s="13"/>
      <c r="BJ16" s="62" t="s">
        <v>99</v>
      </c>
      <c r="BK16" s="134" t="s">
        <v>100</v>
      </c>
    </row>
    <row r="17" spans="1:63" ht="15" thickBot="1" x14ac:dyDescent="0.35">
      <c r="A17" s="18" t="s">
        <v>2</v>
      </c>
      <c r="AI17" s="7" t="s">
        <v>14</v>
      </c>
      <c r="AJ17" s="2">
        <v>25</v>
      </c>
      <c r="AK17" s="2">
        <v>25</v>
      </c>
      <c r="AL17" s="2">
        <v>25</v>
      </c>
      <c r="AM17" s="2">
        <v>24</v>
      </c>
      <c r="AN17" s="2">
        <v>24</v>
      </c>
      <c r="AO17" s="2">
        <v>24</v>
      </c>
      <c r="AP17" s="2">
        <v>24</v>
      </c>
      <c r="AQ17" s="2">
        <v>24</v>
      </c>
      <c r="AR17" s="2">
        <v>24</v>
      </c>
      <c r="AS17" s="2">
        <v>28</v>
      </c>
      <c r="AT17" s="2">
        <v>28</v>
      </c>
      <c r="AU17" s="2">
        <v>28</v>
      </c>
      <c r="AV17" s="2">
        <v>33</v>
      </c>
      <c r="AW17" s="2">
        <v>33</v>
      </c>
      <c r="AX17" s="2">
        <v>33</v>
      </c>
      <c r="AY17" s="2">
        <v>30</v>
      </c>
      <c r="AZ17" s="2">
        <v>30</v>
      </c>
      <c r="BA17" s="2">
        <v>30</v>
      </c>
      <c r="BB17" s="2">
        <v>27</v>
      </c>
      <c r="BC17" s="2">
        <v>27</v>
      </c>
      <c r="BD17" s="2">
        <v>27</v>
      </c>
      <c r="BE17" s="2">
        <v>26</v>
      </c>
      <c r="BF17" s="2">
        <v>26</v>
      </c>
      <c r="BG17" s="3">
        <v>26</v>
      </c>
      <c r="BH17" s="12"/>
      <c r="BJ17" s="19">
        <v>0.74</v>
      </c>
    </row>
    <row r="18" spans="1:63" x14ac:dyDescent="0.3">
      <c r="A18" s="18" t="s">
        <v>3</v>
      </c>
      <c r="G18" s="6" t="s">
        <v>13</v>
      </c>
      <c r="H18" s="100">
        <v>0</v>
      </c>
      <c r="I18" s="100">
        <v>1</v>
      </c>
      <c r="J18" s="100">
        <v>2</v>
      </c>
      <c r="K18" s="100">
        <v>3</v>
      </c>
      <c r="L18" s="100">
        <v>4</v>
      </c>
      <c r="M18" s="100">
        <v>5</v>
      </c>
      <c r="N18" s="100">
        <v>6</v>
      </c>
      <c r="O18" s="100">
        <v>7</v>
      </c>
      <c r="P18" s="100">
        <v>8</v>
      </c>
      <c r="Q18" s="100">
        <v>9</v>
      </c>
      <c r="R18" s="100">
        <v>10</v>
      </c>
      <c r="S18" s="100">
        <v>11</v>
      </c>
      <c r="T18" s="100">
        <v>12</v>
      </c>
      <c r="U18" s="100">
        <v>13</v>
      </c>
      <c r="V18" s="100">
        <v>14</v>
      </c>
      <c r="W18" s="100">
        <v>15</v>
      </c>
      <c r="X18" s="100">
        <v>16</v>
      </c>
      <c r="Y18" s="100">
        <v>17</v>
      </c>
      <c r="Z18" s="100">
        <v>18</v>
      </c>
      <c r="AA18" s="100">
        <v>19</v>
      </c>
      <c r="AB18" s="100">
        <v>20</v>
      </c>
      <c r="AC18" s="100">
        <v>21</v>
      </c>
      <c r="AD18" s="100">
        <v>22</v>
      </c>
      <c r="AE18" s="101">
        <v>23</v>
      </c>
      <c r="AI18" s="8" t="s">
        <v>15</v>
      </c>
      <c r="AJ18" s="2">
        <v>24</v>
      </c>
      <c r="AK18" s="2">
        <v>24</v>
      </c>
      <c r="AL18" s="2">
        <v>24</v>
      </c>
      <c r="AM18" s="2">
        <v>23</v>
      </c>
      <c r="AN18" s="2">
        <v>23</v>
      </c>
      <c r="AO18" s="2">
        <v>23</v>
      </c>
      <c r="AP18" s="2">
        <v>23</v>
      </c>
      <c r="AQ18" s="2">
        <v>23</v>
      </c>
      <c r="AR18" s="2">
        <v>23</v>
      </c>
      <c r="AS18" s="2">
        <v>26</v>
      </c>
      <c r="AT18" s="2">
        <v>26</v>
      </c>
      <c r="AU18" s="2">
        <v>26</v>
      </c>
      <c r="AV18" s="2">
        <v>33</v>
      </c>
      <c r="AW18" s="2">
        <v>33</v>
      </c>
      <c r="AX18" s="2">
        <v>33</v>
      </c>
      <c r="AY18" s="2">
        <v>29</v>
      </c>
      <c r="AZ18" s="2">
        <v>29</v>
      </c>
      <c r="BA18" s="2">
        <v>29</v>
      </c>
      <c r="BB18" s="2">
        <v>26</v>
      </c>
      <c r="BC18" s="2">
        <v>26</v>
      </c>
      <c r="BD18" s="2">
        <v>26</v>
      </c>
      <c r="BE18" s="2">
        <v>25</v>
      </c>
      <c r="BF18" s="2">
        <v>25</v>
      </c>
      <c r="BG18" s="3">
        <v>25</v>
      </c>
      <c r="BH18" s="12"/>
      <c r="BJ18" s="62" t="s">
        <v>108</v>
      </c>
    </row>
    <row r="19" spans="1:63" ht="15" thickBot="1" x14ac:dyDescent="0.35">
      <c r="A19" s="18" t="s">
        <v>6</v>
      </c>
      <c r="G19" s="9" t="e">
        <f>_xlfn.IFS($E$2=1,G2,$E$2=2,G3,$E$2=3,G4,$E$2=4,G5,$E$2=5,G6,$E$2=6,G7,$E$2=7,G8,$E$2=8,G9,$E$2=9,G10,$E$2=10,G11,$E$2=11,G12,$E$2=12,G13)</f>
        <v>#N/A</v>
      </c>
      <c r="H19" s="9" t="e">
        <f t="shared" ref="H19:AE19" si="25">_xlfn.IFS($E$2=1,H2,$E$2=2,H3,$E$2=3,H4,$E$2=4,H5,$E$2=5,H6,$E$2=6,H7,$E$2=7,H8,$E$2=8,H9,$E$2=9,H10,$E$2=10,H11,$E$2=11,H12,$E$2=12,H13)</f>
        <v>#N/A</v>
      </c>
      <c r="I19" s="9" t="e">
        <f t="shared" si="25"/>
        <v>#N/A</v>
      </c>
      <c r="J19" s="9" t="e">
        <f t="shared" si="25"/>
        <v>#N/A</v>
      </c>
      <c r="K19" s="9" t="e">
        <f t="shared" si="25"/>
        <v>#N/A</v>
      </c>
      <c r="L19" s="9" t="e">
        <f t="shared" si="25"/>
        <v>#N/A</v>
      </c>
      <c r="M19" s="9" t="e">
        <f t="shared" si="25"/>
        <v>#N/A</v>
      </c>
      <c r="N19" s="9" t="e">
        <f t="shared" si="25"/>
        <v>#N/A</v>
      </c>
      <c r="O19" s="9" t="e">
        <f t="shared" si="25"/>
        <v>#N/A</v>
      </c>
      <c r="P19" s="9" t="e">
        <f t="shared" si="25"/>
        <v>#N/A</v>
      </c>
      <c r="Q19" s="9" t="e">
        <f t="shared" si="25"/>
        <v>#N/A</v>
      </c>
      <c r="R19" s="9" t="e">
        <f t="shared" si="25"/>
        <v>#N/A</v>
      </c>
      <c r="S19" s="9" t="e">
        <f t="shared" si="25"/>
        <v>#N/A</v>
      </c>
      <c r="T19" s="9" t="e">
        <f t="shared" si="25"/>
        <v>#N/A</v>
      </c>
      <c r="U19" s="9" t="e">
        <f t="shared" si="25"/>
        <v>#N/A</v>
      </c>
      <c r="V19" s="9" t="e">
        <f t="shared" si="25"/>
        <v>#N/A</v>
      </c>
      <c r="W19" s="9" t="e">
        <f t="shared" si="25"/>
        <v>#N/A</v>
      </c>
      <c r="X19" s="9" t="e">
        <f t="shared" si="25"/>
        <v>#N/A</v>
      </c>
      <c r="Y19" s="9" t="e">
        <f t="shared" si="25"/>
        <v>#N/A</v>
      </c>
      <c r="Z19" s="9" t="e">
        <f t="shared" si="25"/>
        <v>#N/A</v>
      </c>
      <c r="AA19" s="9" t="e">
        <f t="shared" si="25"/>
        <v>#N/A</v>
      </c>
      <c r="AB19" s="9" t="e">
        <f t="shared" si="25"/>
        <v>#N/A</v>
      </c>
      <c r="AC19" s="9" t="e">
        <f t="shared" si="25"/>
        <v>#N/A</v>
      </c>
      <c r="AD19" s="9" t="e">
        <f t="shared" si="25"/>
        <v>#N/A</v>
      </c>
      <c r="AE19" s="9" t="e">
        <f t="shared" si="25"/>
        <v>#N/A</v>
      </c>
      <c r="AI19" s="8" t="s">
        <v>16</v>
      </c>
      <c r="AJ19" s="2">
        <v>27</v>
      </c>
      <c r="AK19" s="2">
        <v>27</v>
      </c>
      <c r="AL19" s="2">
        <v>27</v>
      </c>
      <c r="AM19" s="2">
        <v>26</v>
      </c>
      <c r="AN19" s="2">
        <v>26</v>
      </c>
      <c r="AO19" s="2">
        <v>26</v>
      </c>
      <c r="AP19" s="2">
        <v>26</v>
      </c>
      <c r="AQ19" s="2">
        <v>26</v>
      </c>
      <c r="AR19" s="2">
        <v>26</v>
      </c>
      <c r="AS19" s="2">
        <v>28</v>
      </c>
      <c r="AT19" s="2">
        <v>28</v>
      </c>
      <c r="AU19" s="2">
        <v>28</v>
      </c>
      <c r="AV19" s="2">
        <v>31</v>
      </c>
      <c r="AW19" s="2">
        <v>31</v>
      </c>
      <c r="AX19" s="2">
        <v>31</v>
      </c>
      <c r="AY19" s="2">
        <v>29</v>
      </c>
      <c r="AZ19" s="2">
        <v>29</v>
      </c>
      <c r="BA19" s="2">
        <v>29</v>
      </c>
      <c r="BB19" s="2">
        <v>28</v>
      </c>
      <c r="BC19" s="2">
        <v>28</v>
      </c>
      <c r="BD19" s="2">
        <v>28</v>
      </c>
      <c r="BE19" s="2">
        <v>27</v>
      </c>
      <c r="BF19" s="2">
        <v>27</v>
      </c>
      <c r="BG19" s="3">
        <v>27</v>
      </c>
      <c r="BH19" s="12"/>
      <c r="BJ19" s="19">
        <v>100.8</v>
      </c>
    </row>
    <row r="20" spans="1:63" x14ac:dyDescent="0.3">
      <c r="AI20" s="8" t="s">
        <v>17</v>
      </c>
      <c r="AJ20" s="2">
        <v>26</v>
      </c>
      <c r="AK20" s="2">
        <v>26</v>
      </c>
      <c r="AL20" s="2">
        <v>26</v>
      </c>
      <c r="AM20" s="2">
        <v>26</v>
      </c>
      <c r="AN20" s="2">
        <v>26</v>
      </c>
      <c r="AO20" s="2">
        <v>26</v>
      </c>
      <c r="AP20" s="2">
        <v>26</v>
      </c>
      <c r="AQ20" s="2">
        <v>26</v>
      </c>
      <c r="AR20" s="2">
        <v>26</v>
      </c>
      <c r="AS20" s="2">
        <v>28</v>
      </c>
      <c r="AT20" s="2">
        <v>28</v>
      </c>
      <c r="AU20" s="2">
        <v>28</v>
      </c>
      <c r="AV20" s="2">
        <v>29</v>
      </c>
      <c r="AW20" s="2">
        <v>29</v>
      </c>
      <c r="AX20" s="2">
        <v>29</v>
      </c>
      <c r="AY20" s="2">
        <v>30</v>
      </c>
      <c r="AZ20" s="2">
        <v>30</v>
      </c>
      <c r="BA20" s="2">
        <v>30</v>
      </c>
      <c r="BB20" s="2">
        <v>29</v>
      </c>
      <c r="BC20" s="2">
        <v>29</v>
      </c>
      <c r="BD20" s="2">
        <v>29</v>
      </c>
      <c r="BE20" s="2">
        <v>28</v>
      </c>
      <c r="BF20" s="2">
        <v>28</v>
      </c>
      <c r="BG20" s="3">
        <v>28</v>
      </c>
      <c r="BH20" s="12"/>
    </row>
    <row r="21" spans="1:63" x14ac:dyDescent="0.3">
      <c r="AI21" s="8" t="s">
        <v>18</v>
      </c>
      <c r="AJ21" s="12">
        <v>23</v>
      </c>
      <c r="AK21" s="12">
        <v>23</v>
      </c>
      <c r="AL21" s="12">
        <v>23</v>
      </c>
      <c r="AM21" s="12">
        <v>26</v>
      </c>
      <c r="AN21" s="12">
        <v>26</v>
      </c>
      <c r="AO21" s="12">
        <v>26</v>
      </c>
      <c r="AP21" s="12">
        <v>26</v>
      </c>
      <c r="AQ21" s="12">
        <v>26</v>
      </c>
      <c r="AR21" s="12">
        <v>26</v>
      </c>
      <c r="AS21" s="12">
        <v>26</v>
      </c>
      <c r="AT21" s="12">
        <v>26</v>
      </c>
      <c r="AU21" s="12">
        <v>26</v>
      </c>
      <c r="AV21" s="12">
        <v>26</v>
      </c>
      <c r="AW21" s="12">
        <v>26</v>
      </c>
      <c r="AX21" s="12">
        <v>26</v>
      </c>
      <c r="AY21" s="12">
        <v>25</v>
      </c>
      <c r="AZ21" s="12">
        <v>25</v>
      </c>
      <c r="BA21" s="12">
        <v>25</v>
      </c>
      <c r="BB21" s="12">
        <v>24</v>
      </c>
      <c r="BC21" s="12">
        <v>24</v>
      </c>
      <c r="BD21" s="12">
        <v>24</v>
      </c>
      <c r="BE21" s="12">
        <v>19</v>
      </c>
      <c r="BF21" s="12">
        <v>19</v>
      </c>
      <c r="BG21" s="14">
        <v>19</v>
      </c>
      <c r="BH21" s="12"/>
    </row>
    <row r="22" spans="1:63" x14ac:dyDescent="0.3">
      <c r="AI22" s="8" t="s">
        <v>19</v>
      </c>
      <c r="AJ22" s="12">
        <v>26</v>
      </c>
      <c r="AK22" s="12">
        <v>26</v>
      </c>
      <c r="AL22" s="12">
        <v>26</v>
      </c>
      <c r="AM22" s="12">
        <v>26</v>
      </c>
      <c r="AN22" s="12">
        <v>26</v>
      </c>
      <c r="AO22" s="12">
        <v>26</v>
      </c>
      <c r="AP22" s="12">
        <v>27</v>
      </c>
      <c r="AQ22" s="12">
        <v>27</v>
      </c>
      <c r="AR22" s="12">
        <v>27</v>
      </c>
      <c r="AS22" s="12">
        <v>28</v>
      </c>
      <c r="AT22" s="12">
        <v>28</v>
      </c>
      <c r="AU22" s="12">
        <v>28</v>
      </c>
      <c r="AV22" s="12">
        <v>29</v>
      </c>
      <c r="AW22" s="12">
        <v>29</v>
      </c>
      <c r="AX22" s="12">
        <v>29</v>
      </c>
      <c r="AY22" s="12">
        <v>29</v>
      </c>
      <c r="AZ22" s="12">
        <v>29</v>
      </c>
      <c r="BA22" s="12">
        <v>29</v>
      </c>
      <c r="BB22" s="12">
        <v>27</v>
      </c>
      <c r="BC22" s="12">
        <v>27</v>
      </c>
      <c r="BD22" s="12">
        <v>27</v>
      </c>
      <c r="BE22" s="12">
        <v>27</v>
      </c>
      <c r="BF22" s="12">
        <v>27</v>
      </c>
      <c r="BG22" s="14">
        <v>27</v>
      </c>
      <c r="BH22" s="12"/>
    </row>
    <row r="23" spans="1:63" x14ac:dyDescent="0.3">
      <c r="AI23" s="8" t="s">
        <v>20</v>
      </c>
      <c r="AJ23" s="12">
        <v>26</v>
      </c>
      <c r="AK23" s="12">
        <v>26</v>
      </c>
      <c r="AL23" s="12">
        <v>26</v>
      </c>
      <c r="AM23" s="12">
        <v>26</v>
      </c>
      <c r="AN23" s="12">
        <v>26</v>
      </c>
      <c r="AO23" s="12">
        <v>26</v>
      </c>
      <c r="AP23" s="12">
        <v>27</v>
      </c>
      <c r="AQ23" s="12">
        <v>27</v>
      </c>
      <c r="AR23" s="12">
        <v>27</v>
      </c>
      <c r="AS23" s="12">
        <v>28</v>
      </c>
      <c r="AT23" s="12">
        <v>28</v>
      </c>
      <c r="AU23" s="12">
        <v>28</v>
      </c>
      <c r="AV23" s="12">
        <v>28</v>
      </c>
      <c r="AW23" s="12">
        <v>28</v>
      </c>
      <c r="AX23" s="12">
        <v>28</v>
      </c>
      <c r="AY23" s="12">
        <v>28</v>
      </c>
      <c r="AZ23" s="12">
        <v>28</v>
      </c>
      <c r="BA23" s="12">
        <v>28</v>
      </c>
      <c r="BB23" s="12">
        <v>27</v>
      </c>
      <c r="BC23" s="12">
        <v>27</v>
      </c>
      <c r="BD23" s="12">
        <v>27</v>
      </c>
      <c r="BE23" s="12">
        <v>27</v>
      </c>
      <c r="BF23" s="12">
        <v>27</v>
      </c>
      <c r="BG23" s="14">
        <v>27</v>
      </c>
      <c r="BH23" s="12"/>
    </row>
    <row r="24" spans="1:63" x14ac:dyDescent="0.3">
      <c r="AI24" s="8" t="s">
        <v>21</v>
      </c>
      <c r="AJ24" s="12">
        <v>26</v>
      </c>
      <c r="AK24" s="12">
        <v>26</v>
      </c>
      <c r="AL24" s="12">
        <v>26</v>
      </c>
      <c r="AM24" s="12">
        <v>26</v>
      </c>
      <c r="AN24" s="12">
        <v>26</v>
      </c>
      <c r="AO24" s="12">
        <v>26</v>
      </c>
      <c r="AP24" s="12">
        <v>26</v>
      </c>
      <c r="AQ24" s="12">
        <v>26</v>
      </c>
      <c r="AR24" s="12">
        <v>26</v>
      </c>
      <c r="AS24" s="12">
        <v>27</v>
      </c>
      <c r="AT24" s="12">
        <v>27</v>
      </c>
      <c r="AU24" s="12">
        <v>27</v>
      </c>
      <c r="AV24" s="12">
        <v>27</v>
      </c>
      <c r="AW24" s="12">
        <v>27</v>
      </c>
      <c r="AX24" s="12">
        <v>27</v>
      </c>
      <c r="AY24" s="12">
        <v>27</v>
      </c>
      <c r="AZ24" s="12">
        <v>27</v>
      </c>
      <c r="BA24" s="12">
        <v>27</v>
      </c>
      <c r="BB24" s="12">
        <v>27</v>
      </c>
      <c r="BC24" s="12">
        <v>27</v>
      </c>
      <c r="BD24" s="12">
        <v>27</v>
      </c>
      <c r="BE24" s="12">
        <v>26</v>
      </c>
      <c r="BF24" s="12">
        <v>26</v>
      </c>
      <c r="BG24" s="14">
        <v>26</v>
      </c>
      <c r="BH24" s="12"/>
    </row>
    <row r="25" spans="1:63" x14ac:dyDescent="0.3">
      <c r="AI25" s="8" t="s">
        <v>22</v>
      </c>
      <c r="AJ25" s="12">
        <v>25</v>
      </c>
      <c r="AK25" s="12">
        <v>25</v>
      </c>
      <c r="AL25" s="12">
        <v>25</v>
      </c>
      <c r="AM25" s="12">
        <v>25</v>
      </c>
      <c r="AN25" s="12">
        <v>25</v>
      </c>
      <c r="AO25" s="12">
        <v>25</v>
      </c>
      <c r="AP25" s="12">
        <v>25</v>
      </c>
      <c r="AQ25" s="12">
        <v>25</v>
      </c>
      <c r="AR25" s="12">
        <v>25</v>
      </c>
      <c r="AS25" s="12">
        <v>28</v>
      </c>
      <c r="AT25" s="12">
        <v>28</v>
      </c>
      <c r="AU25" s="12">
        <v>28</v>
      </c>
      <c r="AV25" s="12">
        <v>28</v>
      </c>
      <c r="AW25" s="12">
        <v>28</v>
      </c>
      <c r="AX25" s="12">
        <v>28</v>
      </c>
      <c r="AY25" s="12">
        <v>28</v>
      </c>
      <c r="AZ25" s="12">
        <v>28</v>
      </c>
      <c r="BA25" s="12">
        <v>28</v>
      </c>
      <c r="BB25" s="12">
        <v>26</v>
      </c>
      <c r="BC25" s="12">
        <v>26</v>
      </c>
      <c r="BD25" s="12">
        <v>26</v>
      </c>
      <c r="BE25" s="12">
        <v>26</v>
      </c>
      <c r="BF25" s="12">
        <v>26</v>
      </c>
      <c r="BG25" s="14">
        <v>26</v>
      </c>
      <c r="BH25" s="12"/>
    </row>
    <row r="26" spans="1:63" x14ac:dyDescent="0.3">
      <c r="AI26" s="8" t="s">
        <v>23</v>
      </c>
      <c r="AJ26" s="12">
        <v>26</v>
      </c>
      <c r="AK26" s="12">
        <v>26</v>
      </c>
      <c r="AL26" s="12">
        <v>26</v>
      </c>
      <c r="AM26" s="12">
        <v>26</v>
      </c>
      <c r="AN26" s="12">
        <v>26</v>
      </c>
      <c r="AO26" s="12">
        <v>26</v>
      </c>
      <c r="AP26" s="12">
        <v>26</v>
      </c>
      <c r="AQ26" s="12">
        <v>26</v>
      </c>
      <c r="AR26" s="12">
        <v>26</v>
      </c>
      <c r="AS26" s="12">
        <v>28</v>
      </c>
      <c r="AT26" s="12">
        <v>28</v>
      </c>
      <c r="AU26" s="12">
        <v>28</v>
      </c>
      <c r="AV26" s="12">
        <v>30</v>
      </c>
      <c r="AW26" s="12">
        <v>30</v>
      </c>
      <c r="AX26" s="12">
        <v>30</v>
      </c>
      <c r="AY26" s="12">
        <v>28</v>
      </c>
      <c r="AZ26" s="12">
        <v>28</v>
      </c>
      <c r="BA26" s="12">
        <v>28</v>
      </c>
      <c r="BB26" s="12">
        <v>26</v>
      </c>
      <c r="BC26" s="12">
        <v>26</v>
      </c>
      <c r="BD26" s="12">
        <v>26</v>
      </c>
      <c r="BE26" s="12">
        <v>26</v>
      </c>
      <c r="BF26" s="12">
        <v>26</v>
      </c>
      <c r="BG26" s="14">
        <v>26</v>
      </c>
      <c r="BH26" s="12"/>
    </row>
    <row r="27" spans="1:63" x14ac:dyDescent="0.3">
      <c r="AI27" s="8" t="s">
        <v>24</v>
      </c>
      <c r="AJ27" s="12">
        <v>25</v>
      </c>
      <c r="AK27" s="12">
        <v>25</v>
      </c>
      <c r="AL27" s="12">
        <v>25</v>
      </c>
      <c r="AM27" s="12">
        <v>26</v>
      </c>
      <c r="AN27" s="12">
        <v>26</v>
      </c>
      <c r="AO27" s="12">
        <v>26</v>
      </c>
      <c r="AP27" s="12">
        <v>26</v>
      </c>
      <c r="AQ27" s="12">
        <v>26</v>
      </c>
      <c r="AR27" s="12">
        <v>26</v>
      </c>
      <c r="AS27" s="12">
        <v>28</v>
      </c>
      <c r="AT27" s="12">
        <v>28</v>
      </c>
      <c r="AU27" s="12">
        <v>28</v>
      </c>
      <c r="AV27" s="12">
        <v>30</v>
      </c>
      <c r="AW27" s="12">
        <v>30</v>
      </c>
      <c r="AX27" s="12">
        <v>30</v>
      </c>
      <c r="AY27" s="12">
        <v>28</v>
      </c>
      <c r="AZ27" s="12">
        <v>28</v>
      </c>
      <c r="BA27" s="12">
        <v>28</v>
      </c>
      <c r="BB27" s="12">
        <v>26</v>
      </c>
      <c r="BC27" s="12">
        <v>26</v>
      </c>
      <c r="BD27" s="12">
        <v>26</v>
      </c>
      <c r="BE27" s="12">
        <v>26</v>
      </c>
      <c r="BF27" s="12">
        <v>26</v>
      </c>
      <c r="BG27" s="14">
        <v>26</v>
      </c>
      <c r="BH27" s="12"/>
    </row>
    <row r="28" spans="1:63" ht="15" thickBot="1" x14ac:dyDescent="0.35">
      <c r="AI28" s="9" t="s">
        <v>25</v>
      </c>
      <c r="AJ28" s="4">
        <v>24</v>
      </c>
      <c r="AK28" s="4">
        <v>24</v>
      </c>
      <c r="AL28" s="4">
        <v>24</v>
      </c>
      <c r="AM28" s="4">
        <v>24</v>
      </c>
      <c r="AN28" s="4">
        <v>24</v>
      </c>
      <c r="AO28" s="4">
        <v>24</v>
      </c>
      <c r="AP28" s="4">
        <v>24</v>
      </c>
      <c r="AQ28" s="4">
        <v>24</v>
      </c>
      <c r="AR28" s="4">
        <v>24</v>
      </c>
      <c r="AS28" s="4">
        <v>25</v>
      </c>
      <c r="AT28" s="4">
        <v>25</v>
      </c>
      <c r="AU28" s="4">
        <v>25</v>
      </c>
      <c r="AV28" s="4">
        <v>25</v>
      </c>
      <c r="AW28" s="4">
        <v>25</v>
      </c>
      <c r="AX28" s="4">
        <v>25</v>
      </c>
      <c r="AY28" s="4">
        <v>26</v>
      </c>
      <c r="AZ28" s="4">
        <v>26</v>
      </c>
      <c r="BA28" s="4">
        <v>26</v>
      </c>
      <c r="BB28" s="4">
        <v>25</v>
      </c>
      <c r="BC28" s="4">
        <v>25</v>
      </c>
      <c r="BD28" s="4">
        <v>25</v>
      </c>
      <c r="BE28" s="4">
        <v>24</v>
      </c>
      <c r="BF28" s="4">
        <v>24</v>
      </c>
      <c r="BG28" s="5">
        <v>24</v>
      </c>
      <c r="BH28" s="12"/>
    </row>
    <row r="29" spans="1:63" ht="15" thickBot="1" x14ac:dyDescent="0.35">
      <c r="AI29" s="17" t="s">
        <v>5</v>
      </c>
      <c r="AJ29" s="211" t="s">
        <v>26</v>
      </c>
      <c r="AK29" s="211"/>
      <c r="AL29" s="211"/>
      <c r="AO29" t="s">
        <v>29</v>
      </c>
    </row>
    <row r="30" spans="1:63" x14ac:dyDescent="0.3">
      <c r="AI30" s="6" t="s">
        <v>13</v>
      </c>
      <c r="AJ30" s="10">
        <v>0</v>
      </c>
      <c r="AK30" s="10">
        <v>1</v>
      </c>
      <c r="AL30" s="10">
        <v>2</v>
      </c>
      <c r="AM30" s="10">
        <v>3</v>
      </c>
      <c r="AN30" s="10">
        <v>4</v>
      </c>
      <c r="AO30" s="10">
        <v>5</v>
      </c>
      <c r="AP30" s="10">
        <v>6</v>
      </c>
      <c r="AQ30" s="10">
        <v>7</v>
      </c>
      <c r="AR30" s="10">
        <v>8</v>
      </c>
      <c r="AS30" s="10">
        <v>9</v>
      </c>
      <c r="AT30" s="10">
        <v>10</v>
      </c>
      <c r="AU30" s="10">
        <v>11</v>
      </c>
      <c r="AV30" s="10">
        <v>12</v>
      </c>
      <c r="AW30" s="10">
        <v>13</v>
      </c>
      <c r="AX30" s="10">
        <v>14</v>
      </c>
      <c r="AY30" s="10">
        <v>15</v>
      </c>
      <c r="AZ30" s="10">
        <v>16</v>
      </c>
      <c r="BA30" s="10">
        <v>17</v>
      </c>
      <c r="BB30" s="10">
        <v>18</v>
      </c>
      <c r="BC30" s="10">
        <v>19</v>
      </c>
      <c r="BD30" s="10">
        <v>20</v>
      </c>
      <c r="BE30" s="10">
        <v>21</v>
      </c>
      <c r="BF30" s="10">
        <v>22</v>
      </c>
      <c r="BG30" s="11">
        <v>23</v>
      </c>
      <c r="BJ30" s="62" t="s">
        <v>99</v>
      </c>
      <c r="BK30" s="134" t="s">
        <v>102</v>
      </c>
    </row>
    <row r="31" spans="1:63" x14ac:dyDescent="0.3">
      <c r="AI31" s="7" t="s">
        <v>14</v>
      </c>
      <c r="AJ31" s="12">
        <v>25</v>
      </c>
      <c r="AK31" s="12">
        <v>25</v>
      </c>
      <c r="AL31" s="12">
        <v>25</v>
      </c>
      <c r="AM31" s="2">
        <v>25</v>
      </c>
      <c r="AN31" s="2">
        <v>25</v>
      </c>
      <c r="AO31" s="2">
        <v>25</v>
      </c>
      <c r="AP31" s="2">
        <v>25</v>
      </c>
      <c r="AQ31" s="2">
        <v>25</v>
      </c>
      <c r="AR31" s="2">
        <v>25</v>
      </c>
      <c r="AS31" s="2">
        <v>28</v>
      </c>
      <c r="AT31" s="2">
        <v>28</v>
      </c>
      <c r="AU31" s="2">
        <v>28</v>
      </c>
      <c r="AV31" s="2">
        <v>30</v>
      </c>
      <c r="AW31" s="2">
        <v>30</v>
      </c>
      <c r="AX31" s="2">
        <v>30</v>
      </c>
      <c r="AY31" s="2">
        <v>29</v>
      </c>
      <c r="AZ31" s="2">
        <v>29</v>
      </c>
      <c r="BA31" s="2">
        <v>29</v>
      </c>
      <c r="BB31" s="2">
        <v>27</v>
      </c>
      <c r="BC31" s="2">
        <v>27</v>
      </c>
      <c r="BD31" s="2">
        <v>27</v>
      </c>
      <c r="BE31" s="2">
        <v>26</v>
      </c>
      <c r="BF31" s="2">
        <v>26</v>
      </c>
      <c r="BG31" s="3">
        <v>26</v>
      </c>
      <c r="BJ31" s="19">
        <v>0.79</v>
      </c>
    </row>
    <row r="32" spans="1:63" x14ac:dyDescent="0.3">
      <c r="AI32" s="8" t="s">
        <v>15</v>
      </c>
      <c r="AJ32" s="12">
        <v>26</v>
      </c>
      <c r="AK32" s="12">
        <v>26</v>
      </c>
      <c r="AL32" s="12">
        <v>26</v>
      </c>
      <c r="AM32" s="12">
        <v>25</v>
      </c>
      <c r="AN32" s="12">
        <v>25</v>
      </c>
      <c r="AO32" s="12">
        <v>25</v>
      </c>
      <c r="AP32" s="12">
        <v>25</v>
      </c>
      <c r="AQ32" s="12">
        <v>25</v>
      </c>
      <c r="AR32" s="12">
        <v>25</v>
      </c>
      <c r="AS32" s="12">
        <v>27</v>
      </c>
      <c r="AT32" s="12">
        <v>27</v>
      </c>
      <c r="AU32" s="12">
        <v>27</v>
      </c>
      <c r="AV32" s="12">
        <v>29</v>
      </c>
      <c r="AW32" s="12">
        <v>29</v>
      </c>
      <c r="AX32" s="12">
        <v>29</v>
      </c>
      <c r="AY32" s="12">
        <v>28</v>
      </c>
      <c r="AZ32" s="12">
        <v>28</v>
      </c>
      <c r="BA32" s="12">
        <v>28</v>
      </c>
      <c r="BB32" s="12">
        <v>26</v>
      </c>
      <c r="BC32" s="12">
        <v>26</v>
      </c>
      <c r="BD32" s="12">
        <v>26</v>
      </c>
      <c r="BE32" s="12">
        <v>26</v>
      </c>
      <c r="BF32" s="12">
        <v>26</v>
      </c>
      <c r="BG32" s="14">
        <v>26</v>
      </c>
      <c r="BJ32" s="62" t="s">
        <v>108</v>
      </c>
    </row>
    <row r="33" spans="35:62" x14ac:dyDescent="0.3">
      <c r="AI33" s="8" t="s">
        <v>16</v>
      </c>
      <c r="AJ33" s="12">
        <v>25</v>
      </c>
      <c r="AK33" s="12">
        <v>25</v>
      </c>
      <c r="AL33" s="12">
        <v>25</v>
      </c>
      <c r="AM33" s="12">
        <v>24</v>
      </c>
      <c r="AN33" s="12">
        <v>24</v>
      </c>
      <c r="AO33" s="12">
        <v>24</v>
      </c>
      <c r="AP33" s="12">
        <v>25</v>
      </c>
      <c r="AQ33" s="12">
        <v>25</v>
      </c>
      <c r="AR33" s="12">
        <v>25</v>
      </c>
      <c r="AS33" s="12">
        <v>28</v>
      </c>
      <c r="AT33" s="12">
        <v>28</v>
      </c>
      <c r="AU33" s="12">
        <v>28</v>
      </c>
      <c r="AV33" s="12">
        <v>31</v>
      </c>
      <c r="AW33" s="12">
        <v>31</v>
      </c>
      <c r="AX33" s="12">
        <v>31</v>
      </c>
      <c r="AY33" s="12">
        <v>29</v>
      </c>
      <c r="AZ33" s="12">
        <v>29</v>
      </c>
      <c r="BA33" s="12">
        <v>29</v>
      </c>
      <c r="BB33" s="12">
        <v>28</v>
      </c>
      <c r="BC33" s="12">
        <v>28</v>
      </c>
      <c r="BD33" s="12">
        <v>28</v>
      </c>
      <c r="BE33" s="12">
        <v>27</v>
      </c>
      <c r="BF33" s="12">
        <v>27</v>
      </c>
      <c r="BG33" s="14">
        <v>27</v>
      </c>
      <c r="BJ33" s="19">
        <v>100.8</v>
      </c>
    </row>
    <row r="34" spans="35:62" x14ac:dyDescent="0.3">
      <c r="AI34" s="8" t="s">
        <v>17</v>
      </c>
      <c r="AJ34" s="12">
        <v>27</v>
      </c>
      <c r="AK34" s="12">
        <v>27</v>
      </c>
      <c r="AL34" s="12">
        <v>27</v>
      </c>
      <c r="AM34" s="12">
        <v>26</v>
      </c>
      <c r="AN34" s="12">
        <v>26</v>
      </c>
      <c r="AO34" s="12">
        <v>26</v>
      </c>
      <c r="AP34" s="12">
        <v>27</v>
      </c>
      <c r="AQ34" s="12">
        <v>27</v>
      </c>
      <c r="AR34" s="12">
        <v>27</v>
      </c>
      <c r="AS34" s="12">
        <v>29</v>
      </c>
      <c r="AT34" s="12">
        <v>29</v>
      </c>
      <c r="AU34" s="12">
        <v>29</v>
      </c>
      <c r="AV34" s="12">
        <v>29</v>
      </c>
      <c r="AW34" s="12">
        <v>29</v>
      </c>
      <c r="AX34" s="12">
        <v>29</v>
      </c>
      <c r="AY34" s="12">
        <v>29</v>
      </c>
      <c r="AZ34" s="12">
        <v>29</v>
      </c>
      <c r="BA34" s="12">
        <v>29</v>
      </c>
      <c r="BB34" s="12">
        <v>28</v>
      </c>
      <c r="BC34" s="12">
        <v>28</v>
      </c>
      <c r="BD34" s="12">
        <v>28</v>
      </c>
      <c r="BE34" s="12">
        <v>28</v>
      </c>
      <c r="BF34" s="12">
        <v>28</v>
      </c>
      <c r="BG34" s="14">
        <v>28</v>
      </c>
    </row>
    <row r="35" spans="35:62" x14ac:dyDescent="0.3">
      <c r="AI35" s="8" t="s">
        <v>18</v>
      </c>
      <c r="AJ35" s="12">
        <v>23</v>
      </c>
      <c r="AK35" s="12">
        <v>23</v>
      </c>
      <c r="AL35" s="12">
        <v>23</v>
      </c>
      <c r="AM35" s="12">
        <v>26</v>
      </c>
      <c r="AN35" s="12">
        <v>26</v>
      </c>
      <c r="AO35" s="12">
        <v>26</v>
      </c>
      <c r="AP35" s="12">
        <v>26</v>
      </c>
      <c r="AQ35" s="12">
        <v>26</v>
      </c>
      <c r="AR35" s="12">
        <v>26</v>
      </c>
      <c r="AS35" s="12">
        <v>26</v>
      </c>
      <c r="AT35" s="12">
        <v>26</v>
      </c>
      <c r="AU35" s="12">
        <v>26</v>
      </c>
      <c r="AV35" s="12">
        <v>26</v>
      </c>
      <c r="AW35" s="12">
        <v>26</v>
      </c>
      <c r="AX35" s="12">
        <v>26</v>
      </c>
      <c r="AY35" s="12">
        <v>26</v>
      </c>
      <c r="AZ35" s="12">
        <v>26</v>
      </c>
      <c r="BA35" s="12">
        <v>26</v>
      </c>
      <c r="BB35" s="12">
        <v>24</v>
      </c>
      <c r="BC35" s="12">
        <v>24</v>
      </c>
      <c r="BD35" s="12">
        <v>24</v>
      </c>
      <c r="BE35" s="12">
        <v>26</v>
      </c>
      <c r="BF35" s="12">
        <v>26</v>
      </c>
      <c r="BG35" s="14">
        <v>26</v>
      </c>
    </row>
    <row r="36" spans="35:62" x14ac:dyDescent="0.3">
      <c r="AI36" s="8" t="s">
        <v>19</v>
      </c>
      <c r="AJ36" s="12">
        <v>27</v>
      </c>
      <c r="AK36" s="12">
        <v>27</v>
      </c>
      <c r="AL36" s="12">
        <v>27</v>
      </c>
      <c r="AM36" s="12">
        <v>27</v>
      </c>
      <c r="AN36" s="12">
        <v>27</v>
      </c>
      <c r="AO36" s="12">
        <v>27</v>
      </c>
      <c r="AP36" s="12">
        <v>27</v>
      </c>
      <c r="AQ36" s="12">
        <v>27</v>
      </c>
      <c r="AR36" s="12">
        <v>27</v>
      </c>
      <c r="AS36" s="12">
        <v>28</v>
      </c>
      <c r="AT36" s="12">
        <v>28</v>
      </c>
      <c r="AU36" s="12">
        <v>28</v>
      </c>
      <c r="AV36" s="12">
        <v>28</v>
      </c>
      <c r="AW36" s="12">
        <v>28</v>
      </c>
      <c r="AX36" s="12">
        <v>28</v>
      </c>
      <c r="AY36" s="12">
        <v>28</v>
      </c>
      <c r="AZ36" s="12">
        <v>28</v>
      </c>
      <c r="BA36" s="12">
        <v>28</v>
      </c>
      <c r="BB36" s="12">
        <v>27</v>
      </c>
      <c r="BC36" s="12">
        <v>27</v>
      </c>
      <c r="BD36" s="12">
        <v>27</v>
      </c>
      <c r="BE36" s="12">
        <v>27</v>
      </c>
      <c r="BF36" s="12">
        <v>27</v>
      </c>
      <c r="BG36" s="14">
        <v>27</v>
      </c>
    </row>
    <row r="37" spans="35:62" x14ac:dyDescent="0.3">
      <c r="AI37" s="8" t="s">
        <v>20</v>
      </c>
      <c r="AJ37" s="12">
        <v>24</v>
      </c>
      <c r="AK37" s="12">
        <v>24</v>
      </c>
      <c r="AL37" s="12">
        <v>24</v>
      </c>
      <c r="AM37" s="12">
        <v>26</v>
      </c>
      <c r="AN37" s="12">
        <v>26</v>
      </c>
      <c r="AO37" s="12">
        <v>26</v>
      </c>
      <c r="AP37" s="12">
        <v>27</v>
      </c>
      <c r="AQ37" s="12">
        <v>27</v>
      </c>
      <c r="AR37" s="12">
        <v>27</v>
      </c>
      <c r="AS37" s="12">
        <v>28</v>
      </c>
      <c r="AT37" s="12">
        <v>28</v>
      </c>
      <c r="AU37" s="12">
        <v>28</v>
      </c>
      <c r="AV37" s="12">
        <v>28</v>
      </c>
      <c r="AW37" s="12">
        <v>28</v>
      </c>
      <c r="AX37" s="12">
        <v>28</v>
      </c>
      <c r="AY37" s="12">
        <v>28</v>
      </c>
      <c r="AZ37" s="12">
        <v>28</v>
      </c>
      <c r="BA37" s="12">
        <v>28</v>
      </c>
      <c r="BB37" s="12">
        <v>27</v>
      </c>
      <c r="BC37" s="12">
        <v>27</v>
      </c>
      <c r="BD37" s="12">
        <v>27</v>
      </c>
      <c r="BE37" s="12">
        <v>27</v>
      </c>
      <c r="BF37" s="12">
        <v>27</v>
      </c>
      <c r="BG37" s="14">
        <v>27</v>
      </c>
    </row>
    <row r="38" spans="35:62" x14ac:dyDescent="0.3">
      <c r="AI38" s="8" t="s">
        <v>21</v>
      </c>
      <c r="AJ38" s="12">
        <v>21</v>
      </c>
      <c r="AK38" s="12">
        <v>21</v>
      </c>
      <c r="AL38" s="12">
        <v>21</v>
      </c>
      <c r="AM38" s="12">
        <v>26</v>
      </c>
      <c r="AN38" s="12">
        <v>26</v>
      </c>
      <c r="AO38" s="12">
        <v>26</v>
      </c>
      <c r="AP38" s="12">
        <v>26</v>
      </c>
      <c r="AQ38" s="12">
        <v>26</v>
      </c>
      <c r="AR38" s="12">
        <v>26</v>
      </c>
      <c r="AS38" s="12">
        <v>27</v>
      </c>
      <c r="AT38" s="12">
        <v>27</v>
      </c>
      <c r="AU38" s="12">
        <v>27</v>
      </c>
      <c r="AV38" s="12">
        <v>27</v>
      </c>
      <c r="AW38" s="12">
        <v>27</v>
      </c>
      <c r="AX38" s="12">
        <v>27</v>
      </c>
      <c r="AY38" s="12">
        <v>27</v>
      </c>
      <c r="AZ38" s="12">
        <v>27</v>
      </c>
      <c r="BA38" s="12">
        <v>27</v>
      </c>
      <c r="BB38" s="12">
        <v>26</v>
      </c>
      <c r="BC38" s="12">
        <v>26</v>
      </c>
      <c r="BD38" s="12">
        <v>26</v>
      </c>
      <c r="BE38" s="12">
        <v>26</v>
      </c>
      <c r="BF38" s="12">
        <v>26</v>
      </c>
      <c r="BG38" s="14">
        <v>26</v>
      </c>
    </row>
    <row r="39" spans="35:62" x14ac:dyDescent="0.3">
      <c r="AI39" s="8" t="s">
        <v>22</v>
      </c>
      <c r="AJ39" s="12">
        <v>26</v>
      </c>
      <c r="AK39" s="12">
        <v>26</v>
      </c>
      <c r="AL39" s="12">
        <v>26</v>
      </c>
      <c r="AM39" s="12">
        <v>26</v>
      </c>
      <c r="AN39" s="12">
        <v>26</v>
      </c>
      <c r="AO39" s="12">
        <v>26</v>
      </c>
      <c r="AP39" s="12">
        <v>26</v>
      </c>
      <c r="AQ39" s="12">
        <v>26</v>
      </c>
      <c r="AR39" s="12">
        <v>26</v>
      </c>
      <c r="AS39" s="12">
        <v>28</v>
      </c>
      <c r="AT39" s="12">
        <v>28</v>
      </c>
      <c r="AU39" s="12">
        <v>28</v>
      </c>
      <c r="AV39" s="12">
        <v>29</v>
      </c>
      <c r="AW39" s="12">
        <v>29</v>
      </c>
      <c r="AX39" s="12">
        <v>29</v>
      </c>
      <c r="AY39" s="12">
        <v>28</v>
      </c>
      <c r="AZ39" s="12">
        <v>28</v>
      </c>
      <c r="BA39" s="12">
        <v>28</v>
      </c>
      <c r="BB39" s="12">
        <v>26</v>
      </c>
      <c r="BC39" s="12">
        <v>26</v>
      </c>
      <c r="BD39" s="12">
        <v>26</v>
      </c>
      <c r="BE39" s="12">
        <v>27</v>
      </c>
      <c r="BF39" s="12">
        <v>27</v>
      </c>
      <c r="BG39" s="14">
        <v>27</v>
      </c>
    </row>
    <row r="40" spans="35:62" x14ac:dyDescent="0.3">
      <c r="AI40" s="8" t="s">
        <v>23</v>
      </c>
      <c r="AJ40" s="12">
        <v>27</v>
      </c>
      <c r="AK40" s="12">
        <v>27</v>
      </c>
      <c r="AL40" s="12">
        <v>27</v>
      </c>
      <c r="AM40" s="12">
        <v>27</v>
      </c>
      <c r="AN40" s="12">
        <v>27</v>
      </c>
      <c r="AO40" s="12">
        <v>27</v>
      </c>
      <c r="AP40" s="12">
        <v>27</v>
      </c>
      <c r="AQ40" s="12">
        <v>27</v>
      </c>
      <c r="AR40" s="12">
        <v>27</v>
      </c>
      <c r="AS40" s="12">
        <v>28</v>
      </c>
      <c r="AT40" s="12">
        <v>28</v>
      </c>
      <c r="AU40" s="12">
        <v>28</v>
      </c>
      <c r="AV40" s="12">
        <v>29</v>
      </c>
      <c r="AW40" s="12">
        <v>29</v>
      </c>
      <c r="AX40" s="12">
        <v>29</v>
      </c>
      <c r="AY40" s="12">
        <v>29</v>
      </c>
      <c r="AZ40" s="12">
        <v>29</v>
      </c>
      <c r="BA40" s="12">
        <v>29</v>
      </c>
      <c r="BB40" s="12">
        <v>27</v>
      </c>
      <c r="BC40" s="12">
        <v>27</v>
      </c>
      <c r="BD40" s="12">
        <v>27</v>
      </c>
      <c r="BE40" s="12">
        <v>27</v>
      </c>
      <c r="BF40" s="12">
        <v>27</v>
      </c>
      <c r="BG40" s="14">
        <v>27</v>
      </c>
    </row>
    <row r="41" spans="35:62" x14ac:dyDescent="0.3">
      <c r="AI41" s="8" t="s">
        <v>24</v>
      </c>
      <c r="AJ41" s="12">
        <v>26</v>
      </c>
      <c r="AK41" s="12">
        <v>26</v>
      </c>
      <c r="AL41" s="12">
        <v>26</v>
      </c>
      <c r="AM41" s="12">
        <v>27</v>
      </c>
      <c r="AN41" s="12">
        <v>27</v>
      </c>
      <c r="AO41" s="12">
        <v>27</v>
      </c>
      <c r="AP41" s="12">
        <v>27</v>
      </c>
      <c r="AQ41" s="12">
        <v>27</v>
      </c>
      <c r="AR41" s="12">
        <v>27</v>
      </c>
      <c r="AS41" s="12">
        <v>29</v>
      </c>
      <c r="AT41" s="12">
        <v>29</v>
      </c>
      <c r="AU41" s="12">
        <v>29</v>
      </c>
      <c r="AV41" s="12">
        <v>30</v>
      </c>
      <c r="AW41" s="12">
        <v>30</v>
      </c>
      <c r="AX41" s="12">
        <v>30</v>
      </c>
      <c r="AY41" s="12">
        <v>29</v>
      </c>
      <c r="AZ41" s="12">
        <v>29</v>
      </c>
      <c r="BA41" s="12">
        <v>29</v>
      </c>
      <c r="BB41" s="12">
        <v>27</v>
      </c>
      <c r="BC41" s="12">
        <v>27</v>
      </c>
      <c r="BD41" s="12">
        <v>27</v>
      </c>
      <c r="BE41" s="12">
        <v>27</v>
      </c>
      <c r="BF41" s="12">
        <v>27</v>
      </c>
      <c r="BG41" s="14">
        <v>27</v>
      </c>
    </row>
    <row r="42" spans="35:62" ht="15" thickBot="1" x14ac:dyDescent="0.35">
      <c r="AI42" s="9" t="s">
        <v>25</v>
      </c>
      <c r="AJ42" s="4">
        <v>25</v>
      </c>
      <c r="AK42" s="4">
        <v>25</v>
      </c>
      <c r="AL42" s="4">
        <v>25</v>
      </c>
      <c r="AM42" s="4">
        <v>24</v>
      </c>
      <c r="AN42" s="4">
        <v>24</v>
      </c>
      <c r="AO42" s="4">
        <v>24</v>
      </c>
      <c r="AP42" s="4">
        <v>25</v>
      </c>
      <c r="AQ42" s="4">
        <v>25</v>
      </c>
      <c r="AR42" s="4">
        <v>25</v>
      </c>
      <c r="AS42" s="4">
        <v>25</v>
      </c>
      <c r="AT42" s="4">
        <v>25</v>
      </c>
      <c r="AU42" s="4">
        <v>25</v>
      </c>
      <c r="AV42" s="4">
        <v>25</v>
      </c>
      <c r="AW42" s="4">
        <v>25</v>
      </c>
      <c r="AX42" s="4">
        <v>25</v>
      </c>
      <c r="AY42" s="4">
        <v>25</v>
      </c>
      <c r="AZ42" s="4">
        <v>25</v>
      </c>
      <c r="BA42" s="4">
        <v>25</v>
      </c>
      <c r="BB42" s="4">
        <v>25</v>
      </c>
      <c r="BC42" s="4">
        <v>25</v>
      </c>
      <c r="BD42" s="4">
        <v>25</v>
      </c>
      <c r="BE42" s="4">
        <v>24</v>
      </c>
      <c r="BF42" s="4">
        <v>24</v>
      </c>
      <c r="BG42" s="5">
        <v>24</v>
      </c>
    </row>
  </sheetData>
  <sortState xmlns:xlrd2="http://schemas.microsoft.com/office/spreadsheetml/2017/richdata2" ref="A2:A10">
    <sortCondition ref="A2:A10"/>
  </sortState>
  <mergeCells count="3">
    <mergeCell ref="AJ15:AL15"/>
    <mergeCell ref="AJ1:AL1"/>
    <mergeCell ref="AJ29:AL2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D5AB0-118F-4DF6-B145-43446DAE4282}">
  <sheetPr codeName="Sheet4"/>
  <dimension ref="A1:AN21"/>
  <sheetViews>
    <sheetView workbookViewId="0"/>
  </sheetViews>
  <sheetFormatPr defaultRowHeight="14.4" x14ac:dyDescent="0.3"/>
  <cols>
    <col min="1" max="1" width="15.77734375" style="90" customWidth="1"/>
    <col min="2" max="6" width="8.88671875" style="90"/>
    <col min="7" max="23" width="5.21875" style="90" customWidth="1"/>
    <col min="24" max="16384" width="8.88671875" style="90"/>
  </cols>
  <sheetData>
    <row r="1" spans="1:40" ht="15" thickBot="1" x14ac:dyDescent="0.35">
      <c r="A1" s="104" t="s">
        <v>179</v>
      </c>
      <c r="B1" s="105"/>
      <c r="D1" s="212" t="s">
        <v>79</v>
      </c>
      <c r="F1" s="91" t="s">
        <v>180</v>
      </c>
      <c r="G1" s="92">
        <v>6</v>
      </c>
      <c r="H1" s="92">
        <v>7</v>
      </c>
      <c r="I1" s="92">
        <v>8</v>
      </c>
      <c r="J1" s="92">
        <v>9</v>
      </c>
      <c r="K1" s="92">
        <v>10</v>
      </c>
      <c r="L1" s="92">
        <v>11</v>
      </c>
      <c r="M1" s="92">
        <v>12</v>
      </c>
      <c r="N1" s="92">
        <v>13</v>
      </c>
      <c r="O1" s="92">
        <v>14</v>
      </c>
      <c r="P1" s="92">
        <v>15</v>
      </c>
      <c r="Q1" s="92">
        <v>16</v>
      </c>
      <c r="R1" s="92">
        <v>17</v>
      </c>
      <c r="S1" s="92">
        <v>18</v>
      </c>
      <c r="T1" s="92">
        <v>19</v>
      </c>
      <c r="U1" s="92">
        <v>20</v>
      </c>
      <c r="V1" s="92">
        <v>21</v>
      </c>
      <c r="W1" s="93">
        <v>22</v>
      </c>
      <c r="Z1" s="212" t="s">
        <v>188</v>
      </c>
      <c r="AB1" s="91" t="s">
        <v>180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x14ac:dyDescent="0.3">
      <c r="D2" s="213"/>
      <c r="F2" s="94" t="s">
        <v>77</v>
      </c>
      <c r="G2" s="95">
        <v>0.34</v>
      </c>
      <c r="H2" s="95">
        <v>0.41</v>
      </c>
      <c r="I2" s="95">
        <v>0.46</v>
      </c>
      <c r="J2" s="95">
        <v>0.53</v>
      </c>
      <c r="K2" s="95">
        <v>0.59</v>
      </c>
      <c r="L2" s="95">
        <v>0.65</v>
      </c>
      <c r="M2" s="95">
        <v>0.70000000000000007</v>
      </c>
      <c r="N2" s="95">
        <v>0.74</v>
      </c>
      <c r="O2" s="95">
        <v>0.75</v>
      </c>
      <c r="P2" s="95">
        <v>0.76</v>
      </c>
      <c r="Q2" s="95">
        <v>0.74</v>
      </c>
      <c r="R2" s="95">
        <v>0.75</v>
      </c>
      <c r="S2" s="95">
        <v>0.79</v>
      </c>
      <c r="T2" s="95">
        <v>0.61</v>
      </c>
      <c r="U2" s="95">
        <v>0.5</v>
      </c>
      <c r="V2" s="95">
        <v>0.42</v>
      </c>
      <c r="W2" s="96">
        <v>0.36</v>
      </c>
      <c r="Z2" s="213"/>
      <c r="AB2" s="94" t="s">
        <v>77</v>
      </c>
      <c r="AC2" s="95">
        <v>32</v>
      </c>
      <c r="AD2" s="95">
        <v>34</v>
      </c>
      <c r="AE2" s="95">
        <v>37</v>
      </c>
      <c r="AF2" s="95">
        <v>44</v>
      </c>
      <c r="AG2" s="95">
        <v>74</v>
      </c>
      <c r="AH2" s="95">
        <v>90</v>
      </c>
      <c r="AI2" s="95">
        <v>77</v>
      </c>
      <c r="AJ2" s="95">
        <v>47</v>
      </c>
      <c r="AK2" s="95">
        <v>38</v>
      </c>
      <c r="AL2" s="95">
        <v>35</v>
      </c>
      <c r="AM2" s="95">
        <v>33</v>
      </c>
      <c r="AN2" s="96">
        <v>31</v>
      </c>
    </row>
    <row r="3" spans="1:40" x14ac:dyDescent="0.3">
      <c r="D3" s="213"/>
      <c r="F3" s="94" t="s">
        <v>182</v>
      </c>
      <c r="G3" s="95">
        <v>0.21</v>
      </c>
      <c r="H3" s="95">
        <v>0.36</v>
      </c>
      <c r="I3" s="95">
        <v>0.44</v>
      </c>
      <c r="J3" s="95">
        <v>0.45</v>
      </c>
      <c r="K3" s="95">
        <v>0.4</v>
      </c>
      <c r="L3" s="95">
        <v>0.36</v>
      </c>
      <c r="M3" s="95">
        <v>0.33</v>
      </c>
      <c r="N3" s="95">
        <v>0.31</v>
      </c>
      <c r="O3" s="95">
        <v>0.3</v>
      </c>
      <c r="P3" s="95">
        <v>0.28000000000000003</v>
      </c>
      <c r="Q3" s="95">
        <v>0.26</v>
      </c>
      <c r="R3" s="95">
        <v>0.24</v>
      </c>
      <c r="S3" s="95">
        <v>0.21</v>
      </c>
      <c r="T3" s="95">
        <v>0.17</v>
      </c>
      <c r="U3" s="95">
        <v>0.15</v>
      </c>
      <c r="V3" s="95">
        <v>0.13</v>
      </c>
      <c r="W3" s="96">
        <v>0.11</v>
      </c>
      <c r="Z3" s="213"/>
      <c r="AB3" s="94" t="s">
        <v>182</v>
      </c>
      <c r="AC3" s="95">
        <v>71</v>
      </c>
      <c r="AD3" s="95">
        <v>114</v>
      </c>
      <c r="AE3" s="95">
        <v>156</v>
      </c>
      <c r="AF3" s="95">
        <v>184</v>
      </c>
      <c r="AG3" s="95">
        <v>198</v>
      </c>
      <c r="AH3" s="95">
        <v>200</v>
      </c>
      <c r="AI3" s="95">
        <v>195</v>
      </c>
      <c r="AJ3" s="95">
        <v>179</v>
      </c>
      <c r="AK3" s="95">
        <v>149</v>
      </c>
      <c r="AL3" s="95">
        <v>112</v>
      </c>
      <c r="AM3" s="95">
        <v>71</v>
      </c>
      <c r="AN3" s="96">
        <v>55</v>
      </c>
    </row>
    <row r="4" spans="1:40" x14ac:dyDescent="0.3">
      <c r="D4" s="213"/>
      <c r="F4" s="94" t="s">
        <v>181</v>
      </c>
      <c r="G4" s="95">
        <v>0.18</v>
      </c>
      <c r="H4" s="95">
        <v>0.33</v>
      </c>
      <c r="I4" s="95">
        <v>0.44</v>
      </c>
      <c r="J4" s="95">
        <v>0.5</v>
      </c>
      <c r="K4" s="95">
        <v>0.51</v>
      </c>
      <c r="L4" s="95">
        <v>0.46</v>
      </c>
      <c r="M4" s="95">
        <v>0.39</v>
      </c>
      <c r="N4" s="95">
        <v>0.35000000000000003</v>
      </c>
      <c r="O4" s="95">
        <v>0.31</v>
      </c>
      <c r="P4" s="95">
        <v>0.28999999999999998</v>
      </c>
      <c r="Q4" s="95">
        <v>0.26</v>
      </c>
      <c r="R4" s="95">
        <v>0.23</v>
      </c>
      <c r="S4" s="95">
        <v>0.21</v>
      </c>
      <c r="T4" s="95">
        <v>0.17</v>
      </c>
      <c r="U4" s="95">
        <v>0.15</v>
      </c>
      <c r="V4" s="95">
        <v>0.13</v>
      </c>
      <c r="W4" s="96">
        <v>0.11</v>
      </c>
      <c r="Z4" s="213"/>
      <c r="AB4" s="94" t="s">
        <v>181</v>
      </c>
      <c r="AC4" s="95">
        <v>224</v>
      </c>
      <c r="AD4" s="95">
        <v>239</v>
      </c>
      <c r="AE4" s="95">
        <v>241</v>
      </c>
      <c r="AF4" s="95">
        <v>225</v>
      </c>
      <c r="AG4" s="95">
        <v>209</v>
      </c>
      <c r="AH4" s="95">
        <v>200</v>
      </c>
      <c r="AI4" s="95">
        <v>204</v>
      </c>
      <c r="AJ4" s="95">
        <v>214</v>
      </c>
      <c r="AK4" s="95">
        <v>230</v>
      </c>
      <c r="AL4" s="95">
        <v>231</v>
      </c>
      <c r="AM4" s="95">
        <v>220</v>
      </c>
      <c r="AN4" s="96">
        <v>215</v>
      </c>
    </row>
    <row r="5" spans="1:40" x14ac:dyDescent="0.3">
      <c r="D5" s="213"/>
      <c r="F5" s="94" t="s">
        <v>183</v>
      </c>
      <c r="G5" s="95">
        <v>0.14000000000000001</v>
      </c>
      <c r="H5" s="95">
        <v>0.26</v>
      </c>
      <c r="I5" s="95">
        <v>0.38</v>
      </c>
      <c r="J5" s="95">
        <v>0.48</v>
      </c>
      <c r="K5" s="95">
        <v>0.54</v>
      </c>
      <c r="L5" s="95">
        <v>0.56000000000000005</v>
      </c>
      <c r="M5" s="95">
        <v>0.51</v>
      </c>
      <c r="N5" s="95">
        <v>0.45</v>
      </c>
      <c r="O5" s="95">
        <v>0.4</v>
      </c>
      <c r="P5" s="95">
        <v>0.36</v>
      </c>
      <c r="Q5" s="95">
        <v>0.33</v>
      </c>
      <c r="R5" s="95">
        <v>0.28999999999999998</v>
      </c>
      <c r="S5" s="95">
        <v>0.25</v>
      </c>
      <c r="T5" s="95">
        <v>0.21</v>
      </c>
      <c r="U5" s="95">
        <v>0.18</v>
      </c>
      <c r="V5" s="95">
        <v>0.16</v>
      </c>
      <c r="W5" s="96">
        <v>0.14000000000000001</v>
      </c>
      <c r="Z5" s="213"/>
      <c r="AB5" s="94" t="s">
        <v>183</v>
      </c>
      <c r="AC5" s="95">
        <v>242</v>
      </c>
      <c r="AD5" s="95">
        <v>219</v>
      </c>
      <c r="AE5" s="95">
        <v>184</v>
      </c>
      <c r="AF5" s="95">
        <v>134</v>
      </c>
      <c r="AG5" s="95">
        <v>97</v>
      </c>
      <c r="AH5" s="95">
        <v>82</v>
      </c>
      <c r="AI5" s="95">
        <v>93</v>
      </c>
      <c r="AJ5" s="95">
        <v>128</v>
      </c>
      <c r="AK5" s="95">
        <v>176</v>
      </c>
      <c r="AL5" s="95">
        <v>211</v>
      </c>
      <c r="AM5" s="95">
        <v>233</v>
      </c>
      <c r="AN5" s="96">
        <v>247</v>
      </c>
    </row>
    <row r="6" spans="1:40" x14ac:dyDescent="0.3">
      <c r="D6" s="213"/>
      <c r="F6" s="94" t="s">
        <v>187</v>
      </c>
      <c r="G6" s="95">
        <v>0.08</v>
      </c>
      <c r="H6" s="95">
        <v>0.11</v>
      </c>
      <c r="I6" s="95">
        <v>0.14000000000000001</v>
      </c>
      <c r="J6" s="95">
        <v>0.21</v>
      </c>
      <c r="K6" s="95">
        <v>0.31</v>
      </c>
      <c r="L6" s="95">
        <v>0.42</v>
      </c>
      <c r="M6" s="95">
        <v>0.52</v>
      </c>
      <c r="N6" s="95">
        <v>0.57000000000000006</v>
      </c>
      <c r="O6" s="95">
        <v>0.57999999999999996</v>
      </c>
      <c r="P6" s="95">
        <v>0.53</v>
      </c>
      <c r="Q6" s="95">
        <v>0.47000000000000003</v>
      </c>
      <c r="R6" s="95">
        <v>0.41000000000000003</v>
      </c>
      <c r="S6" s="95">
        <v>0.35000000000000003</v>
      </c>
      <c r="T6" s="95">
        <v>0.28999999999999998</v>
      </c>
      <c r="U6" s="95">
        <v>0.25</v>
      </c>
      <c r="V6" s="95">
        <v>0.21</v>
      </c>
      <c r="W6" s="96">
        <v>0.18</v>
      </c>
      <c r="Z6" s="213"/>
      <c r="AB6" s="94" t="s">
        <v>187</v>
      </c>
      <c r="AC6" s="95">
        <v>162</v>
      </c>
      <c r="AD6" s="95">
        <v>110</v>
      </c>
      <c r="AE6" s="95">
        <v>55</v>
      </c>
      <c r="AF6" s="95">
        <v>39</v>
      </c>
      <c r="AG6" s="95">
        <v>38</v>
      </c>
      <c r="AH6" s="95">
        <v>39</v>
      </c>
      <c r="AI6" s="95">
        <v>39</v>
      </c>
      <c r="AJ6" s="95">
        <v>41</v>
      </c>
      <c r="AK6" s="95">
        <v>56</v>
      </c>
      <c r="AL6" s="95">
        <v>108</v>
      </c>
      <c r="AM6" s="95">
        <v>160</v>
      </c>
      <c r="AN6" s="96">
        <v>179</v>
      </c>
    </row>
    <row r="7" spans="1:40" x14ac:dyDescent="0.3">
      <c r="D7" s="213"/>
      <c r="F7" s="94" t="s">
        <v>184</v>
      </c>
      <c r="G7" s="95">
        <v>0.09</v>
      </c>
      <c r="H7" s="95">
        <v>0.1</v>
      </c>
      <c r="I7" s="95">
        <v>0.12</v>
      </c>
      <c r="J7" s="95">
        <v>0.13</v>
      </c>
      <c r="K7" s="95">
        <v>0.15</v>
      </c>
      <c r="L7" s="95">
        <v>0.17</v>
      </c>
      <c r="M7" s="95">
        <v>0.23</v>
      </c>
      <c r="N7" s="95">
        <v>0.33</v>
      </c>
      <c r="O7" s="95">
        <v>0.44</v>
      </c>
      <c r="P7" s="95">
        <v>0.53</v>
      </c>
      <c r="Q7" s="95">
        <v>0.57999999999999996</v>
      </c>
      <c r="R7" s="95">
        <v>0.59</v>
      </c>
      <c r="S7" s="95">
        <v>0.53</v>
      </c>
      <c r="T7" s="95">
        <v>0.41000000000000003</v>
      </c>
      <c r="U7" s="95">
        <v>0.33</v>
      </c>
      <c r="V7" s="95">
        <v>0.28000000000000003</v>
      </c>
      <c r="W7" s="96">
        <v>0.24</v>
      </c>
      <c r="Z7" s="213"/>
      <c r="AB7" s="94" t="s">
        <v>184</v>
      </c>
      <c r="AC7" s="95">
        <v>242</v>
      </c>
      <c r="AD7" s="95">
        <v>219</v>
      </c>
      <c r="AE7" s="95">
        <v>184</v>
      </c>
      <c r="AF7" s="95">
        <v>134</v>
      </c>
      <c r="AG7" s="95">
        <v>97</v>
      </c>
      <c r="AH7" s="95">
        <v>82</v>
      </c>
      <c r="AI7" s="95">
        <v>93</v>
      </c>
      <c r="AJ7" s="95">
        <v>128</v>
      </c>
      <c r="AK7" s="95">
        <v>176</v>
      </c>
      <c r="AL7" s="95">
        <v>211</v>
      </c>
      <c r="AM7" s="95">
        <v>233</v>
      </c>
      <c r="AN7" s="96">
        <v>247</v>
      </c>
    </row>
    <row r="8" spans="1:40" x14ac:dyDescent="0.3">
      <c r="D8" s="213"/>
      <c r="F8" s="94" t="s">
        <v>185</v>
      </c>
      <c r="G8" s="95">
        <v>0.09</v>
      </c>
      <c r="H8" s="95">
        <v>0.09</v>
      </c>
      <c r="I8" s="95">
        <v>0.1</v>
      </c>
      <c r="J8" s="95">
        <v>0.11</v>
      </c>
      <c r="K8" s="95">
        <v>0.12</v>
      </c>
      <c r="L8" s="95">
        <v>0.13</v>
      </c>
      <c r="M8" s="95">
        <v>0.14000000000000001</v>
      </c>
      <c r="N8" s="95">
        <v>0.19</v>
      </c>
      <c r="O8" s="95">
        <v>0.28999999999999998</v>
      </c>
      <c r="P8" s="95">
        <v>0.4</v>
      </c>
      <c r="Q8" s="95">
        <v>0.5</v>
      </c>
      <c r="R8" s="95">
        <v>0.56000000000000005</v>
      </c>
      <c r="S8" s="95">
        <v>0.55000000000000004</v>
      </c>
      <c r="T8" s="95">
        <v>0.41000000000000003</v>
      </c>
      <c r="U8" s="95">
        <v>0.33</v>
      </c>
      <c r="V8" s="95">
        <v>0.27</v>
      </c>
      <c r="W8" s="96">
        <v>0.23</v>
      </c>
      <c r="Z8" s="213"/>
      <c r="AB8" s="94" t="s">
        <v>185</v>
      </c>
      <c r="AC8" s="95">
        <v>224</v>
      </c>
      <c r="AD8" s="95">
        <v>239</v>
      </c>
      <c r="AE8" s="95">
        <v>241</v>
      </c>
      <c r="AF8" s="95">
        <v>225</v>
      </c>
      <c r="AG8" s="95">
        <v>209</v>
      </c>
      <c r="AH8" s="95">
        <v>200</v>
      </c>
      <c r="AI8" s="95">
        <v>204</v>
      </c>
      <c r="AJ8" s="95">
        <v>214</v>
      </c>
      <c r="AK8" s="95">
        <v>230</v>
      </c>
      <c r="AL8" s="95">
        <v>231</v>
      </c>
      <c r="AM8" s="95">
        <v>220</v>
      </c>
      <c r="AN8" s="96">
        <v>215</v>
      </c>
    </row>
    <row r="9" spans="1:40" ht="15" thickBot="1" x14ac:dyDescent="0.35">
      <c r="D9" s="214"/>
      <c r="F9" s="97" t="s">
        <v>186</v>
      </c>
      <c r="G9" s="98">
        <v>0.09</v>
      </c>
      <c r="H9" s="98">
        <v>0.1</v>
      </c>
      <c r="I9" s="98">
        <v>0.11</v>
      </c>
      <c r="J9" s="98">
        <v>0.13</v>
      </c>
      <c r="K9" s="98">
        <v>0.15</v>
      </c>
      <c r="L9" s="98">
        <v>0.16</v>
      </c>
      <c r="M9" s="98">
        <v>0.17</v>
      </c>
      <c r="N9" s="98">
        <v>0.18</v>
      </c>
      <c r="O9" s="98">
        <v>0.21</v>
      </c>
      <c r="P9" s="98">
        <v>0.3</v>
      </c>
      <c r="Q9" s="98">
        <v>0.42</v>
      </c>
      <c r="R9" s="98">
        <v>0.51</v>
      </c>
      <c r="S9" s="98">
        <v>0.54</v>
      </c>
      <c r="T9" s="98">
        <v>0.39</v>
      </c>
      <c r="U9" s="98">
        <v>0.32</v>
      </c>
      <c r="V9" s="98">
        <v>0.26</v>
      </c>
      <c r="W9" s="99">
        <v>0.22</v>
      </c>
      <c r="Z9" s="214"/>
      <c r="AB9" s="97" t="s">
        <v>186</v>
      </c>
      <c r="AC9" s="98">
        <v>71</v>
      </c>
      <c r="AD9" s="98">
        <v>114</v>
      </c>
      <c r="AE9" s="98">
        <v>156</v>
      </c>
      <c r="AF9" s="98">
        <v>184</v>
      </c>
      <c r="AG9" s="98">
        <v>198</v>
      </c>
      <c r="AH9" s="98">
        <v>200</v>
      </c>
      <c r="AI9" s="98">
        <v>195</v>
      </c>
      <c r="AJ9" s="98">
        <v>179</v>
      </c>
      <c r="AK9" s="98">
        <v>149</v>
      </c>
      <c r="AL9" s="98">
        <v>112</v>
      </c>
      <c r="AM9" s="98">
        <v>71</v>
      </c>
      <c r="AN9" s="99">
        <v>55</v>
      </c>
    </row>
    <row r="12" spans="1:40" ht="15" thickBot="1" x14ac:dyDescent="0.35"/>
    <row r="13" spans="1:40" x14ac:dyDescent="0.3">
      <c r="D13" s="215" t="s">
        <v>190</v>
      </c>
      <c r="F13" s="91" t="s">
        <v>180</v>
      </c>
      <c r="G13" s="93" t="s">
        <v>191</v>
      </c>
    </row>
    <row r="14" spans="1:40" x14ac:dyDescent="0.3">
      <c r="D14" s="216"/>
      <c r="F14" s="94" t="s">
        <v>77</v>
      </c>
      <c r="G14" s="96" t="e">
        <f>_xlfn.IFS($B$1=1,AC2,$B$1=2,AD2,$B$1=3,AE2,$B$1=4,AF2,$B$1=5,AG2,$B$1=6,AH2,$B$1=7,AI2,$B$1=8,AJ2,$B$1=9,AK2,$B$1=10,AL2,$B$1=11,AM2,$B$1=12,AN2)</f>
        <v>#N/A</v>
      </c>
    </row>
    <row r="15" spans="1:40" x14ac:dyDescent="0.3">
      <c r="D15" s="216"/>
      <c r="F15" s="94" t="s">
        <v>182</v>
      </c>
      <c r="G15" s="96" t="e">
        <f t="shared" ref="G15:G21" si="0">_xlfn.IFS($B$1=1,AC3,$B$1=2,AD3,$B$1=3,AE3,$B$1=4,AF3,$B$1=5,AG3,$B$1=6,AH3,$B$1=7,AI3,$B$1=8,AJ3,$B$1=9,AK3,$B$1=10,AL3,$B$1=11,AM3,$B$1=12,AN3)</f>
        <v>#N/A</v>
      </c>
    </row>
    <row r="16" spans="1:40" x14ac:dyDescent="0.3">
      <c r="D16" s="216"/>
      <c r="F16" s="94" t="s">
        <v>181</v>
      </c>
      <c r="G16" s="96" t="e">
        <f t="shared" si="0"/>
        <v>#N/A</v>
      </c>
    </row>
    <row r="17" spans="4:7" x14ac:dyDescent="0.3">
      <c r="D17" s="216"/>
      <c r="F17" s="94" t="s">
        <v>183</v>
      </c>
      <c r="G17" s="96" t="e">
        <f t="shared" si="0"/>
        <v>#N/A</v>
      </c>
    </row>
    <row r="18" spans="4:7" x14ac:dyDescent="0.3">
      <c r="D18" s="216"/>
      <c r="F18" s="94" t="s">
        <v>187</v>
      </c>
      <c r="G18" s="96" t="e">
        <f t="shared" si="0"/>
        <v>#N/A</v>
      </c>
    </row>
    <row r="19" spans="4:7" x14ac:dyDescent="0.3">
      <c r="D19" s="216"/>
      <c r="F19" s="94" t="s">
        <v>184</v>
      </c>
      <c r="G19" s="96" t="e">
        <f t="shared" si="0"/>
        <v>#N/A</v>
      </c>
    </row>
    <row r="20" spans="4:7" x14ac:dyDescent="0.3">
      <c r="D20" s="216"/>
      <c r="F20" s="94" t="s">
        <v>185</v>
      </c>
      <c r="G20" s="96" t="e">
        <f t="shared" si="0"/>
        <v>#N/A</v>
      </c>
    </row>
    <row r="21" spans="4:7" ht="15" thickBot="1" x14ac:dyDescent="0.35">
      <c r="D21" s="217"/>
      <c r="F21" s="97" t="s">
        <v>186</v>
      </c>
      <c r="G21" s="99" t="e">
        <f t="shared" si="0"/>
        <v>#N/A</v>
      </c>
    </row>
  </sheetData>
  <mergeCells count="3">
    <mergeCell ref="D1:D9"/>
    <mergeCell ref="Z1:Z9"/>
    <mergeCell ref="D13:D2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44CA-C27E-4AAE-879A-0707EE17B2E5}">
  <sheetPr codeName="Sheet5"/>
  <dimension ref="A1:AV75"/>
  <sheetViews>
    <sheetView workbookViewId="0"/>
  </sheetViews>
  <sheetFormatPr defaultRowHeight="14.4" x14ac:dyDescent="0.3"/>
  <cols>
    <col min="1" max="1" width="14.6640625" style="90" customWidth="1"/>
    <col min="2" max="2" width="8.88671875" style="90"/>
    <col min="3" max="3" width="16.21875" style="90" customWidth="1"/>
    <col min="4" max="28" width="8.88671875" style="90"/>
    <col min="29" max="29" width="10.77734375" style="90" customWidth="1"/>
    <col min="30" max="16384" width="8.88671875" style="90"/>
  </cols>
  <sheetData>
    <row r="1" spans="1:48" ht="14.4" customHeight="1" x14ac:dyDescent="0.3">
      <c r="A1" s="119" t="s">
        <v>130</v>
      </c>
      <c r="C1" s="91" t="s">
        <v>129</v>
      </c>
      <c r="D1" s="107" t="str">
        <f>Cooling_Load_Calculation!D3</f>
        <v>Industrial</v>
      </c>
      <c r="G1" s="215" t="s">
        <v>200</v>
      </c>
      <c r="I1" s="91" t="s">
        <v>180</v>
      </c>
      <c r="J1" s="92">
        <v>6</v>
      </c>
      <c r="K1" s="92">
        <v>7</v>
      </c>
      <c r="L1" s="92">
        <v>8</v>
      </c>
      <c r="M1" s="92">
        <v>9</v>
      </c>
      <c r="N1" s="92">
        <v>10</v>
      </c>
      <c r="O1" s="92">
        <v>11</v>
      </c>
      <c r="P1" s="92">
        <v>12</v>
      </c>
      <c r="Q1" s="92">
        <v>13</v>
      </c>
      <c r="R1" s="92">
        <v>14</v>
      </c>
      <c r="S1" s="92">
        <v>15</v>
      </c>
      <c r="T1" s="92">
        <v>16</v>
      </c>
      <c r="U1" s="92">
        <v>17</v>
      </c>
      <c r="V1" s="92">
        <v>18</v>
      </c>
      <c r="W1" s="92">
        <v>19</v>
      </c>
      <c r="X1" s="92">
        <v>20</v>
      </c>
      <c r="Y1" s="92">
        <v>21</v>
      </c>
      <c r="Z1" s="93">
        <v>22</v>
      </c>
      <c r="AA1" s="114"/>
      <c r="AC1" s="215" t="s">
        <v>195</v>
      </c>
      <c r="AE1" s="91" t="s">
        <v>180</v>
      </c>
      <c r="AF1" s="92" t="s">
        <v>14</v>
      </c>
      <c r="AG1" s="92" t="s">
        <v>15</v>
      </c>
      <c r="AH1" s="92" t="s">
        <v>16</v>
      </c>
      <c r="AI1" s="92" t="s">
        <v>17</v>
      </c>
      <c r="AJ1" s="92" t="s">
        <v>18</v>
      </c>
      <c r="AK1" s="92" t="s">
        <v>19</v>
      </c>
      <c r="AL1" s="92" t="s">
        <v>20</v>
      </c>
      <c r="AM1" s="92" t="s">
        <v>21</v>
      </c>
      <c r="AN1" s="92" t="s">
        <v>22</v>
      </c>
      <c r="AO1" s="92" t="s">
        <v>23</v>
      </c>
      <c r="AP1" s="92" t="s">
        <v>24</v>
      </c>
      <c r="AQ1" s="93" t="s">
        <v>25</v>
      </c>
    </row>
    <row r="2" spans="1:48" x14ac:dyDescent="0.3">
      <c r="A2" s="120" t="s">
        <v>131</v>
      </c>
      <c r="C2" s="94" t="s">
        <v>133</v>
      </c>
      <c r="D2" s="110">
        <f>_xlfn.IFS(D1=A2,1,D1=A3,0.65)</f>
        <v>1</v>
      </c>
      <c r="G2" s="216"/>
      <c r="I2" s="94" t="s">
        <v>77</v>
      </c>
      <c r="J2" s="95" t="e">
        <f>_xlfn.IFS($D$4="A",AF14,$D$4="B",AF23,$D$4="C",AF32,$D$4="D",AF41,$D$4="E",AF50,$D$4="F",AF59,$D$4="G",AF68)</f>
        <v>#N/A</v>
      </c>
      <c r="K2" s="95" t="e">
        <f t="shared" ref="K2:Z2" si="0">_xlfn.IFS($D$4="A",AG14,$D$4="B",AG23,$D$4="C",AG32,$D$4="D",AG41,$D$4="E",AG50,$D$4="F",AG59,$D$4="G",AG68)</f>
        <v>#N/A</v>
      </c>
      <c r="L2" s="95" t="e">
        <f t="shared" si="0"/>
        <v>#N/A</v>
      </c>
      <c r="M2" s="95" t="e">
        <f t="shared" si="0"/>
        <v>#N/A</v>
      </c>
      <c r="N2" s="95" t="e">
        <f t="shared" si="0"/>
        <v>#N/A</v>
      </c>
      <c r="O2" s="95" t="e">
        <f t="shared" si="0"/>
        <v>#N/A</v>
      </c>
      <c r="P2" s="95" t="e">
        <f t="shared" si="0"/>
        <v>#N/A</v>
      </c>
      <c r="Q2" s="95" t="e">
        <f t="shared" si="0"/>
        <v>#N/A</v>
      </c>
      <c r="R2" s="95" t="e">
        <f t="shared" si="0"/>
        <v>#N/A</v>
      </c>
      <c r="S2" s="95" t="e">
        <f t="shared" si="0"/>
        <v>#N/A</v>
      </c>
      <c r="T2" s="95" t="e">
        <f t="shared" si="0"/>
        <v>#N/A</v>
      </c>
      <c r="U2" s="95" t="e">
        <f t="shared" si="0"/>
        <v>#N/A</v>
      </c>
      <c r="V2" s="95" t="e">
        <f t="shared" si="0"/>
        <v>#N/A</v>
      </c>
      <c r="W2" s="95" t="e">
        <f t="shared" si="0"/>
        <v>#N/A</v>
      </c>
      <c r="X2" s="95" t="e">
        <f t="shared" si="0"/>
        <v>#N/A</v>
      </c>
      <c r="Y2" s="95" t="e">
        <f t="shared" si="0"/>
        <v>#N/A</v>
      </c>
      <c r="Z2" s="96" t="e">
        <f t="shared" si="0"/>
        <v>#N/A</v>
      </c>
      <c r="AA2" s="115"/>
      <c r="AC2" s="216"/>
      <c r="AE2" s="94" t="s">
        <v>77</v>
      </c>
      <c r="AF2" s="95">
        <v>-3</v>
      </c>
      <c r="AG2" s="95">
        <v>-3</v>
      </c>
      <c r="AH2" s="95">
        <v>-3</v>
      </c>
      <c r="AI2" s="95">
        <v>2</v>
      </c>
      <c r="AJ2" s="95">
        <v>7</v>
      </c>
      <c r="AK2" s="95">
        <v>9</v>
      </c>
      <c r="AL2" s="95">
        <v>7</v>
      </c>
      <c r="AM2" s="95">
        <v>2</v>
      </c>
      <c r="AN2" s="95">
        <v>-3</v>
      </c>
      <c r="AO2" s="95">
        <v>-3</v>
      </c>
      <c r="AP2" s="95">
        <v>-3</v>
      </c>
      <c r="AQ2" s="96">
        <v>-4</v>
      </c>
    </row>
    <row r="3" spans="1:48" ht="15" thickBot="1" x14ac:dyDescent="0.35">
      <c r="A3" s="121" t="s">
        <v>132</v>
      </c>
      <c r="C3" s="94" t="s">
        <v>179</v>
      </c>
      <c r="D3" s="110"/>
      <c r="G3" s="216"/>
      <c r="I3" s="94" t="s">
        <v>182</v>
      </c>
      <c r="J3" s="95" t="e">
        <f t="shared" ref="J3:J9" si="1">_xlfn.IFS($D$4="A",AF15,$D$4="B",AF24,$D$4="C",AF33,$D$4="D",AF42,$D$4="E",AF51,$D$4="F",AF60,$D$4="G",AF69)</f>
        <v>#N/A</v>
      </c>
      <c r="K3" s="95" t="e">
        <f t="shared" ref="K3:K9" si="2">_xlfn.IFS($D$4="A",AG15,$D$4="B",AG24,$D$4="C",AG33,$D$4="D",AG42,$D$4="E",AG51,$D$4="F",AG60,$D$4="G",AG69)</f>
        <v>#N/A</v>
      </c>
      <c r="L3" s="95" t="e">
        <f t="shared" ref="L3:L9" si="3">_xlfn.IFS($D$4="A",AH15,$D$4="B",AH24,$D$4="C",AH33,$D$4="D",AH42,$D$4="E",AH51,$D$4="F",AH60,$D$4="G",AH69)</f>
        <v>#N/A</v>
      </c>
      <c r="M3" s="95" t="e">
        <f t="shared" ref="M3:M9" si="4">_xlfn.IFS($D$4="A",AI15,$D$4="B",AI24,$D$4="C",AI33,$D$4="D",AI42,$D$4="E",AI51,$D$4="F",AI60,$D$4="G",AI69)</f>
        <v>#N/A</v>
      </c>
      <c r="N3" s="95" t="e">
        <f t="shared" ref="N3:N9" si="5">_xlfn.IFS($D$4="A",AJ15,$D$4="B",AJ24,$D$4="C",AJ33,$D$4="D",AJ42,$D$4="E",AJ51,$D$4="F",AJ60,$D$4="G",AJ69)</f>
        <v>#N/A</v>
      </c>
      <c r="O3" s="95" t="e">
        <f t="shared" ref="O3:O9" si="6">_xlfn.IFS($D$4="A",AK15,$D$4="B",AK24,$D$4="C",AK33,$D$4="D",AK42,$D$4="E",AK51,$D$4="F",AK60,$D$4="G",AK69)</f>
        <v>#N/A</v>
      </c>
      <c r="P3" s="95" t="e">
        <f t="shared" ref="P3:P9" si="7">_xlfn.IFS($D$4="A",AL15,$D$4="B",AL24,$D$4="C",AL33,$D$4="D",AL42,$D$4="E",AL51,$D$4="F",AL60,$D$4="G",AL69)</f>
        <v>#N/A</v>
      </c>
      <c r="Q3" s="95" t="e">
        <f t="shared" ref="Q3:Q9" si="8">_xlfn.IFS($D$4="A",AM15,$D$4="B",AM24,$D$4="C",AM33,$D$4="D",AM42,$D$4="E",AM51,$D$4="F",AM60,$D$4="G",AM69)</f>
        <v>#N/A</v>
      </c>
      <c r="R3" s="95" t="e">
        <f t="shared" ref="R3:R9" si="9">_xlfn.IFS($D$4="A",AN15,$D$4="B",AN24,$D$4="C",AN33,$D$4="D",AN42,$D$4="E",AN51,$D$4="F",AN60,$D$4="G",AN69)</f>
        <v>#N/A</v>
      </c>
      <c r="S3" s="95" t="e">
        <f t="shared" ref="S3:S9" si="10">_xlfn.IFS($D$4="A",AO15,$D$4="B",AO24,$D$4="C",AO33,$D$4="D",AO42,$D$4="E",AO51,$D$4="F",AO60,$D$4="G",AO69)</f>
        <v>#N/A</v>
      </c>
      <c r="T3" s="95" t="e">
        <f t="shared" ref="T3:T9" si="11">_xlfn.IFS($D$4="A",AP15,$D$4="B",AP24,$D$4="C",AP33,$D$4="D",AP42,$D$4="E",AP51,$D$4="F",AP60,$D$4="G",AP69)</f>
        <v>#N/A</v>
      </c>
      <c r="U3" s="95" t="e">
        <f t="shared" ref="U3:U9" si="12">_xlfn.IFS($D$4="A",AQ15,$D$4="B",AQ24,$D$4="C",AQ33,$D$4="D",AQ42,$D$4="E",AQ51,$D$4="F",AQ60,$D$4="G",AQ69)</f>
        <v>#N/A</v>
      </c>
      <c r="V3" s="95" t="e">
        <f t="shared" ref="V3:V9" si="13">_xlfn.IFS($D$4="A",AR15,$D$4="B",AR24,$D$4="C",AR33,$D$4="D",AR42,$D$4="E",AR51,$D$4="F",AR60,$D$4="G",AR69)</f>
        <v>#N/A</v>
      </c>
      <c r="W3" s="95" t="e">
        <f t="shared" ref="W3:W9" si="14">_xlfn.IFS($D$4="A",AS15,$D$4="B",AS24,$D$4="C",AS33,$D$4="D",AS42,$D$4="E",AS51,$D$4="F",AS60,$D$4="G",AS69)</f>
        <v>#N/A</v>
      </c>
      <c r="X3" s="95" t="e">
        <f t="shared" ref="X3:X9" si="15">_xlfn.IFS($D$4="A",AT15,$D$4="B",AT24,$D$4="C",AT33,$D$4="D",AT42,$D$4="E",AT51,$D$4="F",AT60,$D$4="G",AT69)</f>
        <v>#N/A</v>
      </c>
      <c r="Y3" s="95" t="e">
        <f t="shared" ref="Y3:Y9" si="16">_xlfn.IFS($D$4="A",AU15,$D$4="B",AU24,$D$4="C",AU33,$D$4="D",AU42,$D$4="E",AU51,$D$4="F",AU60,$D$4="G",AU69)</f>
        <v>#N/A</v>
      </c>
      <c r="Z3" s="96" t="e">
        <f t="shared" ref="Z3:Z9" si="17">_xlfn.IFS($D$4="A",AV15,$D$4="B",AV24,$D$4="C",AV33,$D$4="D",AV42,$D$4="E",AV51,$D$4="F",AV60,$D$4="G",AV69)</f>
        <v>#N/A</v>
      </c>
      <c r="AA3" s="115"/>
      <c r="AC3" s="216"/>
      <c r="AE3" s="94" t="s">
        <v>182</v>
      </c>
      <c r="AF3" s="95">
        <v>-6</v>
      </c>
      <c r="AG3" s="95">
        <v>-3</v>
      </c>
      <c r="AH3" s="95">
        <v>-1</v>
      </c>
      <c r="AI3" s="95">
        <v>2</v>
      </c>
      <c r="AJ3" s="95">
        <v>4</v>
      </c>
      <c r="AK3" s="95">
        <v>4</v>
      </c>
      <c r="AL3" s="95">
        <v>4</v>
      </c>
      <c r="AM3" s="95">
        <v>2</v>
      </c>
      <c r="AN3" s="95">
        <v>-1</v>
      </c>
      <c r="AO3" s="95">
        <v>-3</v>
      </c>
      <c r="AP3" s="95">
        <v>-6</v>
      </c>
      <c r="AQ3" s="96">
        <v>-6</v>
      </c>
    </row>
    <row r="4" spans="1:48" ht="15" thickBot="1" x14ac:dyDescent="0.35">
      <c r="C4" s="97" t="s">
        <v>199</v>
      </c>
      <c r="D4" s="106"/>
      <c r="G4" s="216"/>
      <c r="I4" s="94" t="s">
        <v>181</v>
      </c>
      <c r="J4" s="95" t="e">
        <f t="shared" si="1"/>
        <v>#N/A</v>
      </c>
      <c r="K4" s="95" t="e">
        <f t="shared" si="2"/>
        <v>#N/A</v>
      </c>
      <c r="L4" s="95" t="e">
        <f t="shared" si="3"/>
        <v>#N/A</v>
      </c>
      <c r="M4" s="95" t="e">
        <f t="shared" si="4"/>
        <v>#N/A</v>
      </c>
      <c r="N4" s="95" t="e">
        <f t="shared" si="5"/>
        <v>#N/A</v>
      </c>
      <c r="O4" s="95" t="e">
        <f t="shared" si="6"/>
        <v>#N/A</v>
      </c>
      <c r="P4" s="95" t="e">
        <f t="shared" si="7"/>
        <v>#N/A</v>
      </c>
      <c r="Q4" s="95" t="e">
        <f t="shared" si="8"/>
        <v>#N/A</v>
      </c>
      <c r="R4" s="95" t="e">
        <f t="shared" si="9"/>
        <v>#N/A</v>
      </c>
      <c r="S4" s="95" t="e">
        <f t="shared" si="10"/>
        <v>#N/A</v>
      </c>
      <c r="T4" s="95" t="e">
        <f t="shared" si="11"/>
        <v>#N/A</v>
      </c>
      <c r="U4" s="95" t="e">
        <f t="shared" si="12"/>
        <v>#N/A</v>
      </c>
      <c r="V4" s="95" t="e">
        <f t="shared" si="13"/>
        <v>#N/A</v>
      </c>
      <c r="W4" s="95" t="e">
        <f t="shared" si="14"/>
        <v>#N/A</v>
      </c>
      <c r="X4" s="95" t="e">
        <f t="shared" si="15"/>
        <v>#N/A</v>
      </c>
      <c r="Y4" s="95" t="e">
        <f t="shared" si="16"/>
        <v>#N/A</v>
      </c>
      <c r="Z4" s="96" t="e">
        <f t="shared" si="17"/>
        <v>#N/A</v>
      </c>
      <c r="AA4" s="115"/>
      <c r="AC4" s="216"/>
      <c r="AE4" s="94" t="s">
        <v>181</v>
      </c>
      <c r="AF4" s="95">
        <v>-2</v>
      </c>
      <c r="AG4" s="95">
        <v>-1</v>
      </c>
      <c r="AH4" s="95">
        <v>-1</v>
      </c>
      <c r="AI4" s="95">
        <v>-1</v>
      </c>
      <c r="AJ4" s="95">
        <v>-2</v>
      </c>
      <c r="AK4" s="95">
        <v>-2</v>
      </c>
      <c r="AL4" s="95">
        <v>-2</v>
      </c>
      <c r="AM4" s="95">
        <v>-1</v>
      </c>
      <c r="AN4" s="95">
        <v>-1</v>
      </c>
      <c r="AO4" s="95">
        <v>-1</v>
      </c>
      <c r="AP4" s="95">
        <v>-2</v>
      </c>
      <c r="AQ4" s="96">
        <v>-3</v>
      </c>
    </row>
    <row r="5" spans="1:48" x14ac:dyDescent="0.3">
      <c r="G5" s="216"/>
      <c r="I5" s="94" t="s">
        <v>183</v>
      </c>
      <c r="J5" s="95" t="e">
        <f t="shared" si="1"/>
        <v>#N/A</v>
      </c>
      <c r="K5" s="95" t="e">
        <f t="shared" si="2"/>
        <v>#N/A</v>
      </c>
      <c r="L5" s="95" t="e">
        <f t="shared" si="3"/>
        <v>#N/A</v>
      </c>
      <c r="M5" s="95" t="e">
        <f t="shared" si="4"/>
        <v>#N/A</v>
      </c>
      <c r="N5" s="95" t="e">
        <f t="shared" si="5"/>
        <v>#N/A</v>
      </c>
      <c r="O5" s="95" t="e">
        <f t="shared" si="6"/>
        <v>#N/A</v>
      </c>
      <c r="P5" s="95" t="e">
        <f t="shared" si="7"/>
        <v>#N/A</v>
      </c>
      <c r="Q5" s="95" t="e">
        <f t="shared" si="8"/>
        <v>#N/A</v>
      </c>
      <c r="R5" s="95" t="e">
        <f t="shared" si="9"/>
        <v>#N/A</v>
      </c>
      <c r="S5" s="95" t="e">
        <f t="shared" si="10"/>
        <v>#N/A</v>
      </c>
      <c r="T5" s="95" t="e">
        <f t="shared" si="11"/>
        <v>#N/A</v>
      </c>
      <c r="U5" s="95" t="e">
        <f t="shared" si="12"/>
        <v>#N/A</v>
      </c>
      <c r="V5" s="95" t="e">
        <f t="shared" si="13"/>
        <v>#N/A</v>
      </c>
      <c r="W5" s="95" t="e">
        <f t="shared" si="14"/>
        <v>#N/A</v>
      </c>
      <c r="X5" s="95" t="e">
        <f t="shared" si="15"/>
        <v>#N/A</v>
      </c>
      <c r="Y5" s="95" t="e">
        <f t="shared" si="16"/>
        <v>#N/A</v>
      </c>
      <c r="Z5" s="96" t="e">
        <f t="shared" si="17"/>
        <v>#N/A</v>
      </c>
      <c r="AA5" s="115"/>
      <c r="AC5" s="216"/>
      <c r="AE5" s="94" t="s">
        <v>183</v>
      </c>
      <c r="AF5" s="95">
        <v>3</v>
      </c>
      <c r="AG5" s="95">
        <v>1</v>
      </c>
      <c r="AH5" s="95">
        <v>-2</v>
      </c>
      <c r="AI5" s="95">
        <v>-5</v>
      </c>
      <c r="AJ5" s="95">
        <v>-7</v>
      </c>
      <c r="AK5" s="95">
        <v>-8</v>
      </c>
      <c r="AL5" s="95">
        <v>-7</v>
      </c>
      <c r="AM5" s="95">
        <v>-5</v>
      </c>
      <c r="AN5" s="95">
        <v>-2</v>
      </c>
      <c r="AO5" s="95">
        <v>1</v>
      </c>
      <c r="AP5" s="95">
        <v>3</v>
      </c>
      <c r="AQ5" s="96">
        <v>4</v>
      </c>
    </row>
    <row r="6" spans="1:48" x14ac:dyDescent="0.3">
      <c r="G6" s="216"/>
      <c r="I6" s="94" t="s">
        <v>187</v>
      </c>
      <c r="J6" s="95" t="e">
        <f t="shared" si="1"/>
        <v>#N/A</v>
      </c>
      <c r="K6" s="95" t="e">
        <f t="shared" si="2"/>
        <v>#N/A</v>
      </c>
      <c r="L6" s="95" t="e">
        <f t="shared" si="3"/>
        <v>#N/A</v>
      </c>
      <c r="M6" s="95" t="e">
        <f t="shared" si="4"/>
        <v>#N/A</v>
      </c>
      <c r="N6" s="95" t="e">
        <f t="shared" si="5"/>
        <v>#N/A</v>
      </c>
      <c r="O6" s="95" t="e">
        <f t="shared" si="6"/>
        <v>#N/A</v>
      </c>
      <c r="P6" s="95" t="e">
        <f t="shared" si="7"/>
        <v>#N/A</v>
      </c>
      <c r="Q6" s="95" t="e">
        <f t="shared" si="8"/>
        <v>#N/A</v>
      </c>
      <c r="R6" s="95" t="e">
        <f t="shared" si="9"/>
        <v>#N/A</v>
      </c>
      <c r="S6" s="95" t="e">
        <f t="shared" si="10"/>
        <v>#N/A</v>
      </c>
      <c r="T6" s="95" t="e">
        <f t="shared" si="11"/>
        <v>#N/A</v>
      </c>
      <c r="U6" s="95" t="e">
        <f t="shared" si="12"/>
        <v>#N/A</v>
      </c>
      <c r="V6" s="95" t="e">
        <f t="shared" si="13"/>
        <v>#N/A</v>
      </c>
      <c r="W6" s="95" t="e">
        <f t="shared" si="14"/>
        <v>#N/A</v>
      </c>
      <c r="X6" s="95" t="e">
        <f t="shared" si="15"/>
        <v>#N/A</v>
      </c>
      <c r="Y6" s="95" t="e">
        <f t="shared" si="16"/>
        <v>#N/A</v>
      </c>
      <c r="Z6" s="96" t="e">
        <f t="shared" si="17"/>
        <v>#N/A</v>
      </c>
      <c r="AA6" s="115"/>
      <c r="AC6" s="216"/>
      <c r="AE6" s="94" t="s">
        <v>187</v>
      </c>
      <c r="AF6" s="95">
        <v>10</v>
      </c>
      <c r="AG6" s="95">
        <v>4</v>
      </c>
      <c r="AH6" s="95">
        <v>-4</v>
      </c>
      <c r="AI6" s="95">
        <v>-7</v>
      </c>
      <c r="AJ6" s="95">
        <v>-7</v>
      </c>
      <c r="AK6" s="95">
        <v>-7</v>
      </c>
      <c r="AL6" s="95">
        <v>-7</v>
      </c>
      <c r="AM6" s="95">
        <v>-7</v>
      </c>
      <c r="AN6" s="95">
        <v>-4</v>
      </c>
      <c r="AO6" s="95">
        <v>4</v>
      </c>
      <c r="AP6" s="95">
        <v>10</v>
      </c>
      <c r="AQ6" s="96">
        <v>12</v>
      </c>
    </row>
    <row r="7" spans="1:48" x14ac:dyDescent="0.3">
      <c r="G7" s="216"/>
      <c r="I7" s="94" t="s">
        <v>184</v>
      </c>
      <c r="J7" s="95" t="e">
        <f t="shared" si="1"/>
        <v>#N/A</v>
      </c>
      <c r="K7" s="95" t="e">
        <f t="shared" si="2"/>
        <v>#N/A</v>
      </c>
      <c r="L7" s="95" t="e">
        <f t="shared" si="3"/>
        <v>#N/A</v>
      </c>
      <c r="M7" s="95" t="e">
        <f t="shared" si="4"/>
        <v>#N/A</v>
      </c>
      <c r="N7" s="95" t="e">
        <f t="shared" si="5"/>
        <v>#N/A</v>
      </c>
      <c r="O7" s="95" t="e">
        <f t="shared" si="6"/>
        <v>#N/A</v>
      </c>
      <c r="P7" s="95" t="e">
        <f t="shared" si="7"/>
        <v>#N/A</v>
      </c>
      <c r="Q7" s="95" t="e">
        <f t="shared" si="8"/>
        <v>#N/A</v>
      </c>
      <c r="R7" s="95" t="e">
        <f t="shared" si="9"/>
        <v>#N/A</v>
      </c>
      <c r="S7" s="95" t="e">
        <f t="shared" si="10"/>
        <v>#N/A</v>
      </c>
      <c r="T7" s="95" t="e">
        <f t="shared" si="11"/>
        <v>#N/A</v>
      </c>
      <c r="U7" s="95" t="e">
        <f t="shared" si="12"/>
        <v>#N/A</v>
      </c>
      <c r="V7" s="95" t="e">
        <f t="shared" si="13"/>
        <v>#N/A</v>
      </c>
      <c r="W7" s="95" t="e">
        <f t="shared" si="14"/>
        <v>#N/A</v>
      </c>
      <c r="X7" s="95" t="e">
        <f t="shared" si="15"/>
        <v>#N/A</v>
      </c>
      <c r="Y7" s="95" t="e">
        <f t="shared" si="16"/>
        <v>#N/A</v>
      </c>
      <c r="Z7" s="96" t="e">
        <f t="shared" si="17"/>
        <v>#N/A</v>
      </c>
      <c r="AA7" s="115"/>
      <c r="AC7" s="216"/>
      <c r="AE7" s="94" t="s">
        <v>184</v>
      </c>
      <c r="AF7" s="95">
        <v>3</v>
      </c>
      <c r="AG7" s="95">
        <v>1</v>
      </c>
      <c r="AH7" s="95">
        <v>-2</v>
      </c>
      <c r="AI7" s="95">
        <v>-5</v>
      </c>
      <c r="AJ7" s="95">
        <v>-7</v>
      </c>
      <c r="AK7" s="95">
        <v>-8</v>
      </c>
      <c r="AL7" s="95">
        <v>-7</v>
      </c>
      <c r="AM7" s="95">
        <v>-5</v>
      </c>
      <c r="AN7" s="95">
        <v>-2</v>
      </c>
      <c r="AO7" s="95">
        <v>1</v>
      </c>
      <c r="AP7" s="95">
        <v>3</v>
      </c>
      <c r="AQ7" s="96">
        <v>4</v>
      </c>
    </row>
    <row r="8" spans="1:48" x14ac:dyDescent="0.3">
      <c r="G8" s="216"/>
      <c r="I8" s="94" t="s">
        <v>185</v>
      </c>
      <c r="J8" s="95" t="e">
        <f t="shared" si="1"/>
        <v>#N/A</v>
      </c>
      <c r="K8" s="95" t="e">
        <f t="shared" si="2"/>
        <v>#N/A</v>
      </c>
      <c r="L8" s="95" t="e">
        <f t="shared" si="3"/>
        <v>#N/A</v>
      </c>
      <c r="M8" s="95" t="e">
        <f t="shared" si="4"/>
        <v>#N/A</v>
      </c>
      <c r="N8" s="95" t="e">
        <f t="shared" si="5"/>
        <v>#N/A</v>
      </c>
      <c r="O8" s="95" t="e">
        <f t="shared" si="6"/>
        <v>#N/A</v>
      </c>
      <c r="P8" s="95" t="e">
        <f t="shared" si="7"/>
        <v>#N/A</v>
      </c>
      <c r="Q8" s="95" t="e">
        <f t="shared" si="8"/>
        <v>#N/A</v>
      </c>
      <c r="R8" s="95" t="e">
        <f t="shared" si="9"/>
        <v>#N/A</v>
      </c>
      <c r="S8" s="95" t="e">
        <f t="shared" si="10"/>
        <v>#N/A</v>
      </c>
      <c r="T8" s="95" t="e">
        <f t="shared" si="11"/>
        <v>#N/A</v>
      </c>
      <c r="U8" s="95" t="e">
        <f t="shared" si="12"/>
        <v>#N/A</v>
      </c>
      <c r="V8" s="95" t="e">
        <f t="shared" si="13"/>
        <v>#N/A</v>
      </c>
      <c r="W8" s="95" t="e">
        <f t="shared" si="14"/>
        <v>#N/A</v>
      </c>
      <c r="X8" s="95" t="e">
        <f t="shared" si="15"/>
        <v>#N/A</v>
      </c>
      <c r="Y8" s="95" t="e">
        <f t="shared" si="16"/>
        <v>#N/A</v>
      </c>
      <c r="Z8" s="96" t="e">
        <f t="shared" si="17"/>
        <v>#N/A</v>
      </c>
      <c r="AA8" s="115"/>
      <c r="AC8" s="216"/>
      <c r="AE8" s="94" t="s">
        <v>185</v>
      </c>
      <c r="AF8" s="95">
        <v>-2</v>
      </c>
      <c r="AG8" s="95">
        <v>-1</v>
      </c>
      <c r="AH8" s="95">
        <v>-1</v>
      </c>
      <c r="AI8" s="95">
        <v>-1</v>
      </c>
      <c r="AJ8" s="95">
        <v>-2</v>
      </c>
      <c r="AK8" s="95">
        <v>-2</v>
      </c>
      <c r="AL8" s="95">
        <v>-2</v>
      </c>
      <c r="AM8" s="95">
        <v>-1</v>
      </c>
      <c r="AN8" s="95">
        <v>-1</v>
      </c>
      <c r="AO8" s="95">
        <v>-1</v>
      </c>
      <c r="AP8" s="95">
        <v>-2</v>
      </c>
      <c r="AQ8" s="96">
        <v>-3</v>
      </c>
    </row>
    <row r="9" spans="1:48" ht="15" thickBot="1" x14ac:dyDescent="0.35">
      <c r="G9" s="217"/>
      <c r="I9" s="97" t="s">
        <v>186</v>
      </c>
      <c r="J9" s="98" t="e">
        <f t="shared" si="1"/>
        <v>#N/A</v>
      </c>
      <c r="K9" s="98" t="e">
        <f t="shared" si="2"/>
        <v>#N/A</v>
      </c>
      <c r="L9" s="98" t="e">
        <f t="shared" si="3"/>
        <v>#N/A</v>
      </c>
      <c r="M9" s="98" t="e">
        <f t="shared" si="4"/>
        <v>#N/A</v>
      </c>
      <c r="N9" s="98" t="e">
        <f t="shared" si="5"/>
        <v>#N/A</v>
      </c>
      <c r="O9" s="98" t="e">
        <f t="shared" si="6"/>
        <v>#N/A</v>
      </c>
      <c r="P9" s="98" t="e">
        <f t="shared" si="7"/>
        <v>#N/A</v>
      </c>
      <c r="Q9" s="98" t="e">
        <f t="shared" si="8"/>
        <v>#N/A</v>
      </c>
      <c r="R9" s="98" t="e">
        <f t="shared" si="9"/>
        <v>#N/A</v>
      </c>
      <c r="S9" s="98" t="e">
        <f t="shared" si="10"/>
        <v>#N/A</v>
      </c>
      <c r="T9" s="98" t="e">
        <f t="shared" si="11"/>
        <v>#N/A</v>
      </c>
      <c r="U9" s="98" t="e">
        <f t="shared" si="12"/>
        <v>#N/A</v>
      </c>
      <c r="V9" s="98" t="e">
        <f t="shared" si="13"/>
        <v>#N/A</v>
      </c>
      <c r="W9" s="98" t="e">
        <f t="shared" si="14"/>
        <v>#N/A</v>
      </c>
      <c r="X9" s="98" t="e">
        <f t="shared" si="15"/>
        <v>#N/A</v>
      </c>
      <c r="Y9" s="98" t="e">
        <f t="shared" si="16"/>
        <v>#N/A</v>
      </c>
      <c r="Z9" s="99" t="e">
        <f t="shared" si="17"/>
        <v>#N/A</v>
      </c>
      <c r="AA9" s="115"/>
      <c r="AC9" s="217"/>
      <c r="AE9" s="97" t="s">
        <v>186</v>
      </c>
      <c r="AF9" s="98">
        <v>-6</v>
      </c>
      <c r="AG9" s="98">
        <v>-3</v>
      </c>
      <c r="AH9" s="98">
        <v>-1</v>
      </c>
      <c r="AI9" s="98">
        <v>2</v>
      </c>
      <c r="AJ9" s="98">
        <v>4</v>
      </c>
      <c r="AK9" s="98">
        <v>4</v>
      </c>
      <c r="AL9" s="98">
        <v>4</v>
      </c>
      <c r="AM9" s="98">
        <v>2</v>
      </c>
      <c r="AN9" s="98">
        <v>-1</v>
      </c>
      <c r="AO9" s="98">
        <v>-3</v>
      </c>
      <c r="AP9" s="98">
        <v>-6</v>
      </c>
      <c r="AQ9" s="99">
        <v>-6</v>
      </c>
    </row>
    <row r="11" spans="1:48" ht="15" thickBot="1" x14ac:dyDescent="0.35"/>
    <row r="12" spans="1:48" ht="14.4" customHeight="1" x14ac:dyDescent="0.3">
      <c r="G12" s="215" t="s">
        <v>209</v>
      </c>
      <c r="I12" s="91" t="s">
        <v>13</v>
      </c>
      <c r="J12" s="123" t="e">
        <f>_xlfn.IFS($D$3=1,$AF1,$D$3=2,$AG1,$D$3=3,$AH1,$D$3=4,$AI1,$D$3=5,$AJ1,$D$3=6,$AK1,$D$3=7,$AL1,$D$3=8,$AM1,$D$3=9,$AN1,$D$3=10,$AO1,$D$3=11,$AP1,$D$3=12,$AQ1)</f>
        <v>#N/A</v>
      </c>
      <c r="AC12" s="215" t="s">
        <v>201</v>
      </c>
      <c r="AE12" s="91" t="s">
        <v>180</v>
      </c>
      <c r="AF12" s="92">
        <v>6</v>
      </c>
      <c r="AG12" s="92">
        <v>7</v>
      </c>
      <c r="AH12" s="92">
        <v>8</v>
      </c>
      <c r="AI12" s="92">
        <v>9</v>
      </c>
      <c r="AJ12" s="92">
        <v>10</v>
      </c>
      <c r="AK12" s="92">
        <v>11</v>
      </c>
      <c r="AL12" s="92">
        <v>12</v>
      </c>
      <c r="AM12" s="92">
        <v>13</v>
      </c>
      <c r="AN12" s="92">
        <v>14</v>
      </c>
      <c r="AO12" s="92">
        <v>15</v>
      </c>
      <c r="AP12" s="92">
        <v>16</v>
      </c>
      <c r="AQ12" s="92">
        <v>17</v>
      </c>
      <c r="AR12" s="92">
        <v>18</v>
      </c>
      <c r="AS12" s="92">
        <v>19</v>
      </c>
      <c r="AT12" s="92">
        <v>20</v>
      </c>
      <c r="AU12" s="92">
        <v>21</v>
      </c>
      <c r="AV12" s="93">
        <v>22</v>
      </c>
    </row>
    <row r="13" spans="1:48" x14ac:dyDescent="0.3">
      <c r="G13" s="216"/>
      <c r="I13" s="94" t="s">
        <v>77</v>
      </c>
      <c r="J13" s="124" t="e">
        <f t="shared" ref="J13:J20" si="18">_xlfn.IFS($D$3=1,$AF2,$D$3=2,$AG2,$D$3=3,$AH2,$D$3=4,$AI2,$D$3=5,$AJ2,$D$3=6,$AK2,$D$3=7,$AL2,$D$3=8,$AM2,$D$3=9,$AN2,$D$3=10,$AO2,$D$3=11,$AP2,$D$3=12,$AQ2)</f>
        <v>#N/A</v>
      </c>
      <c r="AC13" s="216"/>
      <c r="AE13" s="122"/>
      <c r="AF13" s="221" t="s">
        <v>202</v>
      </c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3"/>
    </row>
    <row r="14" spans="1:48" x14ac:dyDescent="0.3">
      <c r="G14" s="216"/>
      <c r="I14" s="94" t="s">
        <v>182</v>
      </c>
      <c r="J14" s="124" t="e">
        <f t="shared" si="18"/>
        <v>#N/A</v>
      </c>
      <c r="AC14" s="216"/>
      <c r="AE14" s="94" t="s">
        <v>77</v>
      </c>
      <c r="AF14" s="95">
        <v>13</v>
      </c>
      <c r="AG14" s="95">
        <v>12</v>
      </c>
      <c r="AH14" s="95">
        <v>12</v>
      </c>
      <c r="AI14" s="95">
        <v>11</v>
      </c>
      <c r="AJ14" s="95">
        <v>11</v>
      </c>
      <c r="AK14" s="95">
        <v>10</v>
      </c>
      <c r="AL14" s="95">
        <v>10</v>
      </c>
      <c r="AM14" s="95">
        <v>10</v>
      </c>
      <c r="AN14" s="95">
        <v>10</v>
      </c>
      <c r="AO14" s="95">
        <v>10</v>
      </c>
      <c r="AP14" s="95">
        <v>10</v>
      </c>
      <c r="AQ14" s="95">
        <v>11</v>
      </c>
      <c r="AR14" s="95">
        <v>11</v>
      </c>
      <c r="AS14" s="95">
        <v>12</v>
      </c>
      <c r="AT14" s="95">
        <v>12</v>
      </c>
      <c r="AU14" s="95">
        <v>13</v>
      </c>
      <c r="AV14" s="96">
        <v>13</v>
      </c>
    </row>
    <row r="15" spans="1:48" x14ac:dyDescent="0.3">
      <c r="G15" s="216"/>
      <c r="I15" s="94" t="s">
        <v>181</v>
      </c>
      <c r="J15" s="124" t="e">
        <f t="shared" si="18"/>
        <v>#N/A</v>
      </c>
      <c r="AC15" s="216"/>
      <c r="AE15" s="94" t="s">
        <v>182</v>
      </c>
      <c r="AF15" s="95">
        <v>17</v>
      </c>
      <c r="AG15" s="95">
        <v>16</v>
      </c>
      <c r="AH15" s="95">
        <v>15</v>
      </c>
      <c r="AI15" s="95">
        <v>15</v>
      </c>
      <c r="AJ15" s="95">
        <v>15</v>
      </c>
      <c r="AK15" s="95">
        <v>15</v>
      </c>
      <c r="AL15" s="95">
        <v>15</v>
      </c>
      <c r="AM15" s="95">
        <v>16</v>
      </c>
      <c r="AN15" s="95">
        <v>16</v>
      </c>
      <c r="AO15" s="95">
        <v>17</v>
      </c>
      <c r="AP15" s="95">
        <v>18</v>
      </c>
      <c r="AQ15" s="95">
        <v>18</v>
      </c>
      <c r="AR15" s="95">
        <v>18</v>
      </c>
      <c r="AS15" s="95">
        <v>19</v>
      </c>
      <c r="AT15" s="95">
        <v>19</v>
      </c>
      <c r="AU15" s="95">
        <v>20</v>
      </c>
      <c r="AV15" s="96">
        <v>20</v>
      </c>
    </row>
    <row r="16" spans="1:48" x14ac:dyDescent="0.3">
      <c r="G16" s="216"/>
      <c r="I16" s="94" t="s">
        <v>183</v>
      </c>
      <c r="J16" s="124" t="e">
        <f t="shared" si="18"/>
        <v>#N/A</v>
      </c>
      <c r="AC16" s="216"/>
      <c r="AE16" s="94" t="s">
        <v>181</v>
      </c>
      <c r="AF16" s="95">
        <v>21</v>
      </c>
      <c r="AG16" s="95">
        <v>20</v>
      </c>
      <c r="AH16" s="95">
        <v>19</v>
      </c>
      <c r="AI16" s="95">
        <v>19</v>
      </c>
      <c r="AJ16" s="95">
        <v>18</v>
      </c>
      <c r="AK16" s="95">
        <v>19</v>
      </c>
      <c r="AL16" s="95">
        <v>19</v>
      </c>
      <c r="AM16" s="95">
        <v>20</v>
      </c>
      <c r="AN16" s="95">
        <v>21</v>
      </c>
      <c r="AO16" s="95">
        <v>22</v>
      </c>
      <c r="AP16" s="95">
        <v>23</v>
      </c>
      <c r="AQ16" s="95">
        <v>24</v>
      </c>
      <c r="AR16" s="95">
        <v>24</v>
      </c>
      <c r="AS16" s="95">
        <v>25</v>
      </c>
      <c r="AT16" s="95">
        <v>25</v>
      </c>
      <c r="AU16" s="95">
        <v>25</v>
      </c>
      <c r="AV16" s="96">
        <v>25</v>
      </c>
    </row>
    <row r="17" spans="7:48" x14ac:dyDescent="0.3">
      <c r="G17" s="216"/>
      <c r="I17" s="94" t="s">
        <v>187</v>
      </c>
      <c r="J17" s="124" t="e">
        <f t="shared" si="18"/>
        <v>#N/A</v>
      </c>
      <c r="AC17" s="216"/>
      <c r="AE17" s="94" t="s">
        <v>183</v>
      </c>
      <c r="AF17" s="95">
        <v>20</v>
      </c>
      <c r="AG17" s="95">
        <v>20</v>
      </c>
      <c r="AH17" s="95">
        <v>19</v>
      </c>
      <c r="AI17" s="95">
        <v>18</v>
      </c>
      <c r="AJ17" s="95">
        <v>18</v>
      </c>
      <c r="AK17" s="95">
        <v>18</v>
      </c>
      <c r="AL17" s="95">
        <v>18</v>
      </c>
      <c r="AM17" s="95">
        <v>18</v>
      </c>
      <c r="AN17" s="95">
        <v>19</v>
      </c>
      <c r="AO17" s="95">
        <v>20</v>
      </c>
      <c r="AP17" s="95">
        <v>21</v>
      </c>
      <c r="AQ17" s="95">
        <v>22</v>
      </c>
      <c r="AR17" s="95">
        <v>23</v>
      </c>
      <c r="AS17" s="95">
        <v>23</v>
      </c>
      <c r="AT17" s="95">
        <v>24</v>
      </c>
      <c r="AU17" s="95">
        <v>24</v>
      </c>
      <c r="AV17" s="96">
        <v>24</v>
      </c>
    </row>
    <row r="18" spans="7:48" x14ac:dyDescent="0.3">
      <c r="G18" s="216"/>
      <c r="I18" s="94" t="s">
        <v>184</v>
      </c>
      <c r="J18" s="124" t="e">
        <f t="shared" si="18"/>
        <v>#N/A</v>
      </c>
      <c r="AC18" s="216"/>
      <c r="AE18" s="94" t="s">
        <v>187</v>
      </c>
      <c r="AF18" s="95">
        <v>18</v>
      </c>
      <c r="AG18" s="95">
        <v>17</v>
      </c>
      <c r="AH18" s="95">
        <v>16</v>
      </c>
      <c r="AI18" s="95">
        <v>16</v>
      </c>
      <c r="AJ18" s="95">
        <v>15</v>
      </c>
      <c r="AK18" s="95">
        <v>14</v>
      </c>
      <c r="AL18" s="95">
        <v>14</v>
      </c>
      <c r="AM18" s="95">
        <v>14</v>
      </c>
      <c r="AN18" s="95">
        <v>14</v>
      </c>
      <c r="AO18" s="95">
        <v>14</v>
      </c>
      <c r="AP18" s="95">
        <v>15</v>
      </c>
      <c r="AQ18" s="95">
        <v>16</v>
      </c>
      <c r="AR18" s="95">
        <v>17</v>
      </c>
      <c r="AS18" s="95">
        <v>18</v>
      </c>
      <c r="AT18" s="95">
        <v>19</v>
      </c>
      <c r="AU18" s="95">
        <v>19</v>
      </c>
      <c r="AV18" s="96">
        <v>20</v>
      </c>
    </row>
    <row r="19" spans="7:48" x14ac:dyDescent="0.3">
      <c r="G19" s="216"/>
      <c r="I19" s="94" t="s">
        <v>185</v>
      </c>
      <c r="J19" s="124" t="e">
        <f t="shared" si="18"/>
        <v>#N/A</v>
      </c>
      <c r="AC19" s="216"/>
      <c r="AE19" s="94" t="s">
        <v>184</v>
      </c>
      <c r="AF19" s="95">
        <v>23</v>
      </c>
      <c r="AG19" s="95">
        <v>22</v>
      </c>
      <c r="AH19" s="95">
        <v>21</v>
      </c>
      <c r="AI19" s="95">
        <v>20</v>
      </c>
      <c r="AJ19" s="95">
        <v>19</v>
      </c>
      <c r="AK19" s="95">
        <v>19</v>
      </c>
      <c r="AL19" s="95">
        <v>18</v>
      </c>
      <c r="AM19" s="95">
        <v>17</v>
      </c>
      <c r="AN19" s="95">
        <v>17</v>
      </c>
      <c r="AO19" s="95">
        <v>17</v>
      </c>
      <c r="AP19" s="95">
        <v>17</v>
      </c>
      <c r="AQ19" s="95">
        <v>18</v>
      </c>
      <c r="AR19" s="95">
        <v>19</v>
      </c>
      <c r="AS19" s="95">
        <v>20</v>
      </c>
      <c r="AT19" s="95">
        <v>22</v>
      </c>
      <c r="AU19" s="95">
        <v>23</v>
      </c>
      <c r="AV19" s="96">
        <v>24</v>
      </c>
    </row>
    <row r="20" spans="7:48" ht="15" thickBot="1" x14ac:dyDescent="0.35">
      <c r="G20" s="217"/>
      <c r="I20" s="97" t="s">
        <v>186</v>
      </c>
      <c r="J20" s="125" t="e">
        <f t="shared" si="18"/>
        <v>#N/A</v>
      </c>
      <c r="AC20" s="216"/>
      <c r="AE20" s="94" t="s">
        <v>185</v>
      </c>
      <c r="AF20" s="95">
        <v>24</v>
      </c>
      <c r="AG20" s="95">
        <v>24</v>
      </c>
      <c r="AH20" s="95">
        <v>23</v>
      </c>
      <c r="AI20" s="95">
        <v>22</v>
      </c>
      <c r="AJ20" s="95">
        <v>21</v>
      </c>
      <c r="AK20" s="95">
        <v>20</v>
      </c>
      <c r="AL20" s="95">
        <v>19</v>
      </c>
      <c r="AM20" s="95">
        <v>19</v>
      </c>
      <c r="AN20" s="95">
        <v>18</v>
      </c>
      <c r="AO20" s="95">
        <v>18</v>
      </c>
      <c r="AP20" s="95">
        <v>18</v>
      </c>
      <c r="AQ20" s="95">
        <v>18</v>
      </c>
      <c r="AR20" s="95">
        <v>19</v>
      </c>
      <c r="AS20" s="95">
        <v>20</v>
      </c>
      <c r="AT20" s="95">
        <v>22</v>
      </c>
      <c r="AU20" s="95">
        <v>23</v>
      </c>
      <c r="AV20" s="96">
        <v>25</v>
      </c>
    </row>
    <row r="21" spans="7:48" ht="15" thickBot="1" x14ac:dyDescent="0.35">
      <c r="AC21" s="217"/>
      <c r="AE21" s="97" t="s">
        <v>186</v>
      </c>
      <c r="AF21" s="98">
        <v>19</v>
      </c>
      <c r="AG21" s="98">
        <v>19</v>
      </c>
      <c r="AH21" s="98">
        <v>18</v>
      </c>
      <c r="AI21" s="98">
        <v>17</v>
      </c>
      <c r="AJ21" s="98">
        <v>16</v>
      </c>
      <c r="AK21" s="98">
        <v>16</v>
      </c>
      <c r="AL21" s="98">
        <v>15</v>
      </c>
      <c r="AM21" s="98">
        <v>15</v>
      </c>
      <c r="AN21" s="98">
        <v>14</v>
      </c>
      <c r="AO21" s="98">
        <v>14</v>
      </c>
      <c r="AP21" s="98">
        <v>14</v>
      </c>
      <c r="AQ21" s="98">
        <v>15</v>
      </c>
      <c r="AR21" s="98">
        <v>15</v>
      </c>
      <c r="AS21" s="98">
        <v>16</v>
      </c>
      <c r="AT21" s="98">
        <v>17</v>
      </c>
      <c r="AU21" s="98">
        <v>18</v>
      </c>
      <c r="AV21" s="99">
        <v>19</v>
      </c>
    </row>
    <row r="22" spans="7:48" ht="15" thickBot="1" x14ac:dyDescent="0.35">
      <c r="AE22" s="122"/>
      <c r="AF22" s="218" t="s">
        <v>203</v>
      </c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20"/>
    </row>
    <row r="23" spans="7:48" x14ac:dyDescent="0.3">
      <c r="G23" s="215" t="s">
        <v>210</v>
      </c>
      <c r="I23" s="91" t="s">
        <v>180</v>
      </c>
      <c r="J23" s="92">
        <v>6</v>
      </c>
      <c r="K23" s="92">
        <v>7</v>
      </c>
      <c r="L23" s="92">
        <v>8</v>
      </c>
      <c r="M23" s="92">
        <v>9</v>
      </c>
      <c r="N23" s="92">
        <v>10</v>
      </c>
      <c r="O23" s="92">
        <v>11</v>
      </c>
      <c r="P23" s="92">
        <v>12</v>
      </c>
      <c r="Q23" s="92">
        <v>13</v>
      </c>
      <c r="R23" s="92">
        <v>14</v>
      </c>
      <c r="S23" s="92">
        <v>15</v>
      </c>
      <c r="T23" s="92">
        <v>16</v>
      </c>
      <c r="U23" s="92">
        <v>17</v>
      </c>
      <c r="V23" s="92">
        <v>18</v>
      </c>
      <c r="W23" s="92">
        <v>19</v>
      </c>
      <c r="X23" s="92">
        <v>20</v>
      </c>
      <c r="Y23" s="92">
        <v>21</v>
      </c>
      <c r="Z23" s="93">
        <v>22</v>
      </c>
      <c r="AE23" s="94" t="s">
        <v>77</v>
      </c>
      <c r="AF23" s="95">
        <v>11</v>
      </c>
      <c r="AG23" s="95">
        <v>11</v>
      </c>
      <c r="AH23" s="95">
        <v>10</v>
      </c>
      <c r="AI23" s="95">
        <v>9</v>
      </c>
      <c r="AJ23" s="95">
        <v>9</v>
      </c>
      <c r="AK23" s="95">
        <v>9</v>
      </c>
      <c r="AL23" s="95">
        <v>8</v>
      </c>
      <c r="AM23" s="95">
        <v>9</v>
      </c>
      <c r="AN23" s="95">
        <v>9</v>
      </c>
      <c r="AO23" s="95">
        <v>9</v>
      </c>
      <c r="AP23" s="95">
        <v>10</v>
      </c>
      <c r="AQ23" s="95">
        <v>11</v>
      </c>
      <c r="AR23" s="95">
        <v>12</v>
      </c>
      <c r="AS23" s="95">
        <v>13</v>
      </c>
      <c r="AT23" s="95">
        <v>14</v>
      </c>
      <c r="AU23" s="95">
        <v>14</v>
      </c>
      <c r="AV23" s="96">
        <v>15</v>
      </c>
    </row>
    <row r="24" spans="7:48" x14ac:dyDescent="0.3">
      <c r="G24" s="216"/>
      <c r="I24" s="94" t="s">
        <v>77</v>
      </c>
      <c r="J24" s="95" t="e">
        <f>(J2+$J13)*$D$2+(78-((Cooling_Load_Calculation!$D$4*9/5)+32))+(((Cooling_Load_Calculation!G$25*9/5)+32)-85)</f>
        <v>#N/A</v>
      </c>
      <c r="K24" s="95" t="e">
        <f>(K2+$J13)*$D$2+(78-((Cooling_Load_Calculation!$D$4*9/5)+32))+(((Cooling_Load_Calculation!H$25*9/5)+32)-85)</f>
        <v>#N/A</v>
      </c>
      <c r="L24" s="95" t="e">
        <f>(L2+$J13)*$D$2+(78-((Cooling_Load_Calculation!$D$4*9/5)+32))+(((Cooling_Load_Calculation!I$25*9/5)+32)-85)</f>
        <v>#N/A</v>
      </c>
      <c r="M24" s="95" t="e">
        <f>(M2+$J13)*$D$2+(78-((Cooling_Load_Calculation!$D$4*9/5)+32))+(((Cooling_Load_Calculation!J$25*9/5)+32)-85)</f>
        <v>#N/A</v>
      </c>
      <c r="N24" s="95" t="e">
        <f>(N2+$J13)*$D$2+(78-((Cooling_Load_Calculation!$D$4*9/5)+32))+(((Cooling_Load_Calculation!K$25*9/5)+32)-85)</f>
        <v>#N/A</v>
      </c>
      <c r="O24" s="95" t="e">
        <f>(O2+$J13)*$D$2+(78-((Cooling_Load_Calculation!$D$4*9/5)+32))+(((Cooling_Load_Calculation!L$25*9/5)+32)-85)</f>
        <v>#N/A</v>
      </c>
      <c r="P24" s="95" t="e">
        <f>(P2+$J13)*$D$2+(78-((Cooling_Load_Calculation!$D$4*9/5)+32))+(((Cooling_Load_Calculation!M$25*9/5)+32)-85)</f>
        <v>#N/A</v>
      </c>
      <c r="Q24" s="95" t="e">
        <f>(Q2+$J13)*$D$2+(78-((Cooling_Load_Calculation!$D$4*9/5)+32))+(((Cooling_Load_Calculation!N$25*9/5)+32)-85)</f>
        <v>#N/A</v>
      </c>
      <c r="R24" s="95" t="e">
        <f>(R2+$J13)*$D$2+(78-((Cooling_Load_Calculation!$D$4*9/5)+32))+(((Cooling_Load_Calculation!O$25*9/5)+32)-85)</f>
        <v>#N/A</v>
      </c>
      <c r="S24" s="95" t="e">
        <f>(S2+$J13)*$D$2+(78-((Cooling_Load_Calculation!$D$4*9/5)+32))+(((Cooling_Load_Calculation!P$25*9/5)+32)-85)</f>
        <v>#N/A</v>
      </c>
      <c r="T24" s="95" t="e">
        <f>(T2+$J13)*$D$2+(78-((Cooling_Load_Calculation!$D$4*9/5)+32))+(((Cooling_Load_Calculation!Q$25*9/5)+32)-85)</f>
        <v>#N/A</v>
      </c>
      <c r="U24" s="95" t="e">
        <f>(U2+$J13)*$D$2+(78-((Cooling_Load_Calculation!$D$4*9/5)+32))+(((Cooling_Load_Calculation!R$25*9/5)+32)-85)</f>
        <v>#N/A</v>
      </c>
      <c r="V24" s="95" t="e">
        <f>(V2+$J13)*$D$2+(78-((Cooling_Load_Calculation!$D$4*9/5)+32))+(((Cooling_Load_Calculation!S$25*9/5)+32)-85)</f>
        <v>#N/A</v>
      </c>
      <c r="W24" s="95" t="e">
        <f>(W2+$J13)*$D$2+(78-((Cooling_Load_Calculation!$D$4*9/5)+32))+(((Cooling_Load_Calculation!T$25*9/5)+32)-85)</f>
        <v>#N/A</v>
      </c>
      <c r="X24" s="95" t="e">
        <f>(X2+$J13)*$D$2+(78-((Cooling_Load_Calculation!$D$4*9/5)+32))+(((Cooling_Load_Calculation!U$25*9/5)+32)-85)</f>
        <v>#N/A</v>
      </c>
      <c r="Y24" s="95" t="e">
        <f>(Y2+$J13)*$D$2+(78-((Cooling_Load_Calculation!$D$4*9/5)+32))+(((Cooling_Load_Calculation!V$25*9/5)+32)-85)</f>
        <v>#N/A</v>
      </c>
      <c r="Z24" s="96" t="e">
        <f>(Z2+$J13)*$D$2+(78-((Cooling_Load_Calculation!$D$4*9/5)+32))+(((Cooling_Load_Calculation!W$25*9/5)+32)-85)</f>
        <v>#N/A</v>
      </c>
      <c r="AE24" s="94" t="s">
        <v>182</v>
      </c>
      <c r="AF24" s="95">
        <v>14</v>
      </c>
      <c r="AG24" s="95">
        <v>13</v>
      </c>
      <c r="AH24" s="95">
        <v>12</v>
      </c>
      <c r="AI24" s="95">
        <v>12</v>
      </c>
      <c r="AJ24" s="95">
        <v>13</v>
      </c>
      <c r="AK24" s="95">
        <v>14</v>
      </c>
      <c r="AL24" s="95">
        <v>15</v>
      </c>
      <c r="AM24" s="95">
        <v>16</v>
      </c>
      <c r="AN24" s="95">
        <v>17</v>
      </c>
      <c r="AO24" s="95">
        <v>18</v>
      </c>
      <c r="AP24" s="95">
        <v>19</v>
      </c>
      <c r="AQ24" s="95">
        <v>19</v>
      </c>
      <c r="AR24" s="95">
        <v>20</v>
      </c>
      <c r="AS24" s="95">
        <v>20</v>
      </c>
      <c r="AT24" s="95">
        <v>21</v>
      </c>
      <c r="AU24" s="95">
        <v>21</v>
      </c>
      <c r="AV24" s="96">
        <v>21</v>
      </c>
    </row>
    <row r="25" spans="7:48" x14ac:dyDescent="0.3">
      <c r="G25" s="216"/>
      <c r="I25" s="94" t="s">
        <v>182</v>
      </c>
      <c r="J25" s="95" t="e">
        <f>(J3+$J14)*$D$2+(78-((Cooling_Load_Calculation!$D$4*9/5)+32))+(((Cooling_Load_Calculation!G$25*9/5)+32)-85)</f>
        <v>#N/A</v>
      </c>
      <c r="K25" s="95" t="e">
        <f>(K3+$J14)*$D$2+(78-((Cooling_Load_Calculation!$D$4*9/5)+32))+(((Cooling_Load_Calculation!H$25*9/5)+32)-85)</f>
        <v>#N/A</v>
      </c>
      <c r="L25" s="95" t="e">
        <f>(L3+$J14)*$D$2+(78-((Cooling_Load_Calculation!$D$4*9/5)+32))+(((Cooling_Load_Calculation!I$25*9/5)+32)-85)</f>
        <v>#N/A</v>
      </c>
      <c r="M25" s="95" t="e">
        <f>(M3+$J14)*$D$2+(78-((Cooling_Load_Calculation!$D$4*9/5)+32))+(((Cooling_Load_Calculation!J$25*9/5)+32)-85)</f>
        <v>#N/A</v>
      </c>
      <c r="N25" s="95" t="e">
        <f>(N3+$J14)*$D$2+(78-((Cooling_Load_Calculation!$D$4*9/5)+32))+(((Cooling_Load_Calculation!K$25*9/5)+32)-85)</f>
        <v>#N/A</v>
      </c>
      <c r="O25" s="95" t="e">
        <f>(O3+$J14)*$D$2+(78-((Cooling_Load_Calculation!$D$4*9/5)+32))+(((Cooling_Load_Calculation!L$25*9/5)+32)-85)</f>
        <v>#N/A</v>
      </c>
      <c r="P25" s="95" t="e">
        <f>(P3+$J14)*$D$2+(78-((Cooling_Load_Calculation!$D$4*9/5)+32))+(((Cooling_Load_Calculation!M$25*9/5)+32)-85)</f>
        <v>#N/A</v>
      </c>
      <c r="Q25" s="95" t="e">
        <f>(Q3+$J14)*$D$2+(78-((Cooling_Load_Calculation!$D$4*9/5)+32))+(((Cooling_Load_Calculation!N$25*9/5)+32)-85)</f>
        <v>#N/A</v>
      </c>
      <c r="R25" s="95" t="e">
        <f>(R3+$J14)*$D$2+(78-((Cooling_Load_Calculation!$D$4*9/5)+32))+(((Cooling_Load_Calculation!O$25*9/5)+32)-85)</f>
        <v>#N/A</v>
      </c>
      <c r="S25" s="95" t="e">
        <f>(S3+$J14)*$D$2+(78-((Cooling_Load_Calculation!$D$4*9/5)+32))+(((Cooling_Load_Calculation!P$25*9/5)+32)-85)</f>
        <v>#N/A</v>
      </c>
      <c r="T25" s="95" t="e">
        <f>(T3+$J14)*$D$2+(78-((Cooling_Load_Calculation!$D$4*9/5)+32))+(((Cooling_Load_Calculation!Q$25*9/5)+32)-85)</f>
        <v>#N/A</v>
      </c>
      <c r="U25" s="95" t="e">
        <f>(U3+$J14)*$D$2+(78-((Cooling_Load_Calculation!$D$4*9/5)+32))+(((Cooling_Load_Calculation!R$25*9/5)+32)-85)</f>
        <v>#N/A</v>
      </c>
      <c r="V25" s="95" t="e">
        <f>(V3+$J14)*$D$2+(78-((Cooling_Load_Calculation!$D$4*9/5)+32))+(((Cooling_Load_Calculation!S$25*9/5)+32)-85)</f>
        <v>#N/A</v>
      </c>
      <c r="W25" s="95" t="e">
        <f>(W3+$J14)*$D$2+(78-((Cooling_Load_Calculation!$D$4*9/5)+32))+(((Cooling_Load_Calculation!T$25*9/5)+32)-85)</f>
        <v>#N/A</v>
      </c>
      <c r="X25" s="95" t="e">
        <f>(X3+$J14)*$D$2+(78-((Cooling_Load_Calculation!$D$4*9/5)+32))+(((Cooling_Load_Calculation!U$25*9/5)+32)-85)</f>
        <v>#N/A</v>
      </c>
      <c r="Y25" s="95" t="e">
        <f>(Y3+$J14)*$D$2+(78-((Cooling_Load_Calculation!$D$4*9/5)+32))+(((Cooling_Load_Calculation!V$25*9/5)+32)-85)</f>
        <v>#N/A</v>
      </c>
      <c r="Z25" s="96" t="e">
        <f>(Z3+$J14)*$D$2+(78-((Cooling_Load_Calculation!$D$4*9/5)+32))+(((Cooling_Load_Calculation!W$25*9/5)+32)-85)</f>
        <v>#N/A</v>
      </c>
      <c r="AE25" s="94" t="s">
        <v>181</v>
      </c>
      <c r="AF25" s="95">
        <v>17</v>
      </c>
      <c r="AG25" s="95">
        <v>16</v>
      </c>
      <c r="AH25" s="95">
        <v>15</v>
      </c>
      <c r="AI25" s="95">
        <v>15</v>
      </c>
      <c r="AJ25" s="95">
        <v>15</v>
      </c>
      <c r="AK25" s="95">
        <v>17</v>
      </c>
      <c r="AL25" s="95">
        <v>19</v>
      </c>
      <c r="AM25" s="95">
        <v>21</v>
      </c>
      <c r="AN25" s="95">
        <v>22</v>
      </c>
      <c r="AO25" s="95">
        <v>24</v>
      </c>
      <c r="AP25" s="95">
        <v>25</v>
      </c>
      <c r="AQ25" s="95">
        <v>26</v>
      </c>
      <c r="AR25" s="95">
        <v>26</v>
      </c>
      <c r="AS25" s="95">
        <v>27</v>
      </c>
      <c r="AT25" s="95">
        <v>27</v>
      </c>
      <c r="AU25" s="95">
        <v>26</v>
      </c>
      <c r="AV25" s="96">
        <v>26</v>
      </c>
    </row>
    <row r="26" spans="7:48" x14ac:dyDescent="0.3">
      <c r="G26" s="216"/>
      <c r="I26" s="94" t="s">
        <v>181</v>
      </c>
      <c r="J26" s="95" t="e">
        <f>(J4+$J15)*$D$2+(78-((Cooling_Load_Calculation!$D$4*9/5)+32))+(((Cooling_Load_Calculation!G$25*9/5)+32)-85)</f>
        <v>#N/A</v>
      </c>
      <c r="K26" s="95" t="e">
        <f>(K4+$J15)*$D$2+(78-((Cooling_Load_Calculation!$D$4*9/5)+32))+(((Cooling_Load_Calculation!H$25*9/5)+32)-85)</f>
        <v>#N/A</v>
      </c>
      <c r="L26" s="95" t="e">
        <f>(L4+$J15)*$D$2+(78-((Cooling_Load_Calculation!$D$4*9/5)+32))+(((Cooling_Load_Calculation!I$25*9/5)+32)-85)</f>
        <v>#N/A</v>
      </c>
      <c r="M26" s="95" t="e">
        <f>(M4+$J15)*$D$2+(78-((Cooling_Load_Calculation!$D$4*9/5)+32))+(((Cooling_Load_Calculation!J$25*9/5)+32)-85)</f>
        <v>#N/A</v>
      </c>
      <c r="N26" s="95" t="e">
        <f>(N4+$J15)*$D$2+(78-((Cooling_Load_Calculation!$D$4*9/5)+32))+(((Cooling_Load_Calculation!K$25*9/5)+32)-85)</f>
        <v>#N/A</v>
      </c>
      <c r="O26" s="95" t="e">
        <f>(O4+$J15)*$D$2+(78-((Cooling_Load_Calculation!$D$4*9/5)+32))+(((Cooling_Load_Calculation!L$25*9/5)+32)-85)</f>
        <v>#N/A</v>
      </c>
      <c r="P26" s="95" t="e">
        <f>(P4+$J15)*$D$2+(78-((Cooling_Load_Calculation!$D$4*9/5)+32))+(((Cooling_Load_Calculation!M$25*9/5)+32)-85)</f>
        <v>#N/A</v>
      </c>
      <c r="Q26" s="95" t="e">
        <f>(Q4+$J15)*$D$2+(78-((Cooling_Load_Calculation!$D$4*9/5)+32))+(((Cooling_Load_Calculation!N$25*9/5)+32)-85)</f>
        <v>#N/A</v>
      </c>
      <c r="R26" s="95" t="e">
        <f>(R4+$J15)*$D$2+(78-((Cooling_Load_Calculation!$D$4*9/5)+32))+(((Cooling_Load_Calculation!O$25*9/5)+32)-85)</f>
        <v>#N/A</v>
      </c>
      <c r="S26" s="95" t="e">
        <f>(S4+$J15)*$D$2+(78-((Cooling_Load_Calculation!$D$4*9/5)+32))+(((Cooling_Load_Calculation!P$25*9/5)+32)-85)</f>
        <v>#N/A</v>
      </c>
      <c r="T26" s="95" t="e">
        <f>(T4+$J15)*$D$2+(78-((Cooling_Load_Calculation!$D$4*9/5)+32))+(((Cooling_Load_Calculation!Q$25*9/5)+32)-85)</f>
        <v>#N/A</v>
      </c>
      <c r="U26" s="95" t="e">
        <f>(U4+$J15)*$D$2+(78-((Cooling_Load_Calculation!$D$4*9/5)+32))+(((Cooling_Load_Calculation!R$25*9/5)+32)-85)</f>
        <v>#N/A</v>
      </c>
      <c r="V26" s="95" t="e">
        <f>(V4+$J15)*$D$2+(78-((Cooling_Load_Calculation!$D$4*9/5)+32))+(((Cooling_Load_Calculation!S$25*9/5)+32)-85)</f>
        <v>#N/A</v>
      </c>
      <c r="W26" s="95" t="e">
        <f>(W4+$J15)*$D$2+(78-((Cooling_Load_Calculation!$D$4*9/5)+32))+(((Cooling_Load_Calculation!T$25*9/5)+32)-85)</f>
        <v>#N/A</v>
      </c>
      <c r="X26" s="95" t="e">
        <f>(X4+$J15)*$D$2+(78-((Cooling_Load_Calculation!$D$4*9/5)+32))+(((Cooling_Load_Calculation!U$25*9/5)+32)-85)</f>
        <v>#N/A</v>
      </c>
      <c r="Y26" s="95" t="e">
        <f>(Y4+$J15)*$D$2+(78-((Cooling_Load_Calculation!$D$4*9/5)+32))+(((Cooling_Load_Calculation!V$25*9/5)+32)-85)</f>
        <v>#N/A</v>
      </c>
      <c r="Z26" s="96" t="e">
        <f>(Z4+$J15)*$D$2+(78-((Cooling_Load_Calculation!$D$4*9/5)+32))+(((Cooling_Load_Calculation!W$25*9/5)+32)-85)</f>
        <v>#N/A</v>
      </c>
      <c r="AE26" s="94" t="s">
        <v>183</v>
      </c>
      <c r="AF26" s="95">
        <v>17</v>
      </c>
      <c r="AG26" s="95">
        <v>16</v>
      </c>
      <c r="AH26" s="95">
        <v>15</v>
      </c>
      <c r="AI26" s="95">
        <v>14</v>
      </c>
      <c r="AJ26" s="95">
        <v>14</v>
      </c>
      <c r="AK26" s="95">
        <v>15</v>
      </c>
      <c r="AL26" s="95">
        <v>16</v>
      </c>
      <c r="AM26" s="95">
        <v>18</v>
      </c>
      <c r="AN26" s="95">
        <v>20</v>
      </c>
      <c r="AO26" s="95">
        <v>21</v>
      </c>
      <c r="AP26" s="95">
        <v>23</v>
      </c>
      <c r="AQ26" s="95">
        <v>24</v>
      </c>
      <c r="AR26" s="95">
        <v>25</v>
      </c>
      <c r="AS26" s="95">
        <v>26</v>
      </c>
      <c r="AT26" s="95">
        <v>26</v>
      </c>
      <c r="AU26" s="95">
        <v>26</v>
      </c>
      <c r="AV26" s="96">
        <v>26</v>
      </c>
    </row>
    <row r="27" spans="7:48" x14ac:dyDescent="0.3">
      <c r="G27" s="216"/>
      <c r="I27" s="94" t="s">
        <v>183</v>
      </c>
      <c r="J27" s="95" t="e">
        <f>(J5+$J16)*$D$2+(78-((Cooling_Load_Calculation!$D$4*9/5)+32))+(((Cooling_Load_Calculation!G$25*9/5)+32)-85)</f>
        <v>#N/A</v>
      </c>
      <c r="K27" s="95" t="e">
        <f>(K5+$J16)*$D$2+(78-((Cooling_Load_Calculation!$D$4*9/5)+32))+(((Cooling_Load_Calculation!H$25*9/5)+32)-85)</f>
        <v>#N/A</v>
      </c>
      <c r="L27" s="95" t="e">
        <f>(L5+$J16)*$D$2+(78-((Cooling_Load_Calculation!$D$4*9/5)+32))+(((Cooling_Load_Calculation!I$25*9/5)+32)-85)</f>
        <v>#N/A</v>
      </c>
      <c r="M27" s="95" t="e">
        <f>(M5+$J16)*$D$2+(78-((Cooling_Load_Calculation!$D$4*9/5)+32))+(((Cooling_Load_Calculation!J$25*9/5)+32)-85)</f>
        <v>#N/A</v>
      </c>
      <c r="N27" s="95" t="e">
        <f>(N5+$J16)*$D$2+(78-((Cooling_Load_Calculation!$D$4*9/5)+32))+(((Cooling_Load_Calculation!K$25*9/5)+32)-85)</f>
        <v>#N/A</v>
      </c>
      <c r="O27" s="95" t="e">
        <f>(O5+$J16)*$D$2+(78-((Cooling_Load_Calculation!$D$4*9/5)+32))+(((Cooling_Load_Calculation!L$25*9/5)+32)-85)</f>
        <v>#N/A</v>
      </c>
      <c r="P27" s="95" t="e">
        <f>(P5+$J16)*$D$2+(78-((Cooling_Load_Calculation!$D$4*9/5)+32))+(((Cooling_Load_Calculation!M$25*9/5)+32)-85)</f>
        <v>#N/A</v>
      </c>
      <c r="Q27" s="95" t="e">
        <f>(Q5+$J16)*$D$2+(78-((Cooling_Load_Calculation!$D$4*9/5)+32))+(((Cooling_Load_Calculation!N$25*9/5)+32)-85)</f>
        <v>#N/A</v>
      </c>
      <c r="R27" s="95" t="e">
        <f>(R5+$J16)*$D$2+(78-((Cooling_Load_Calculation!$D$4*9/5)+32))+(((Cooling_Load_Calculation!O$25*9/5)+32)-85)</f>
        <v>#N/A</v>
      </c>
      <c r="S27" s="95" t="e">
        <f>(S5+$J16)*$D$2+(78-((Cooling_Load_Calculation!$D$4*9/5)+32))+(((Cooling_Load_Calculation!P$25*9/5)+32)-85)</f>
        <v>#N/A</v>
      </c>
      <c r="T27" s="95" t="e">
        <f>(T5+$J16)*$D$2+(78-((Cooling_Load_Calculation!$D$4*9/5)+32))+(((Cooling_Load_Calculation!Q$25*9/5)+32)-85)</f>
        <v>#N/A</v>
      </c>
      <c r="U27" s="95" t="e">
        <f>(U5+$J16)*$D$2+(78-((Cooling_Load_Calculation!$D$4*9/5)+32))+(((Cooling_Load_Calculation!R$25*9/5)+32)-85)</f>
        <v>#N/A</v>
      </c>
      <c r="V27" s="95" t="e">
        <f>(V5+$J16)*$D$2+(78-((Cooling_Load_Calculation!$D$4*9/5)+32))+(((Cooling_Load_Calculation!S$25*9/5)+32)-85)</f>
        <v>#N/A</v>
      </c>
      <c r="W27" s="95" t="e">
        <f>(W5+$J16)*$D$2+(78-((Cooling_Load_Calculation!$D$4*9/5)+32))+(((Cooling_Load_Calculation!T$25*9/5)+32)-85)</f>
        <v>#N/A</v>
      </c>
      <c r="X27" s="95" t="e">
        <f>(X5+$J16)*$D$2+(78-((Cooling_Load_Calculation!$D$4*9/5)+32))+(((Cooling_Load_Calculation!U$25*9/5)+32)-85)</f>
        <v>#N/A</v>
      </c>
      <c r="Y27" s="95" t="e">
        <f>(Y5+$J16)*$D$2+(78-((Cooling_Load_Calculation!$D$4*9/5)+32))+(((Cooling_Load_Calculation!V$25*9/5)+32)-85)</f>
        <v>#N/A</v>
      </c>
      <c r="Z27" s="96" t="e">
        <f>(Z5+$J16)*$D$2+(78-((Cooling_Load_Calculation!$D$4*9/5)+32))+(((Cooling_Load_Calculation!W$25*9/5)+32)-85)</f>
        <v>#N/A</v>
      </c>
      <c r="AE27" s="94" t="s">
        <v>187</v>
      </c>
      <c r="AF27" s="95">
        <v>15</v>
      </c>
      <c r="AG27" s="95">
        <v>14</v>
      </c>
      <c r="AH27" s="95">
        <v>13</v>
      </c>
      <c r="AI27" s="95">
        <v>12</v>
      </c>
      <c r="AJ27" s="95">
        <v>11</v>
      </c>
      <c r="AK27" s="95">
        <v>11</v>
      </c>
      <c r="AL27" s="95">
        <v>11</v>
      </c>
      <c r="AM27" s="95">
        <v>11</v>
      </c>
      <c r="AN27" s="95">
        <v>12</v>
      </c>
      <c r="AO27" s="95">
        <v>14</v>
      </c>
      <c r="AP27" s="95">
        <v>15</v>
      </c>
      <c r="AQ27" s="95">
        <v>17</v>
      </c>
      <c r="AR27" s="95">
        <v>19</v>
      </c>
      <c r="AS27" s="95">
        <v>20</v>
      </c>
      <c r="AT27" s="95">
        <v>21</v>
      </c>
      <c r="AU27" s="95">
        <v>22</v>
      </c>
      <c r="AV27" s="96">
        <v>22</v>
      </c>
    </row>
    <row r="28" spans="7:48" x14ac:dyDescent="0.3">
      <c r="G28" s="216"/>
      <c r="I28" s="94" t="s">
        <v>187</v>
      </c>
      <c r="J28" s="95" t="e">
        <f>(J6+$J17)*$D$2+(78-((Cooling_Load_Calculation!$D$4*9/5)+32))+(((Cooling_Load_Calculation!G$25*9/5)+32)-85)</f>
        <v>#N/A</v>
      </c>
      <c r="K28" s="95" t="e">
        <f>(K6+$J17)*$D$2+(78-((Cooling_Load_Calculation!$D$4*9/5)+32))+(((Cooling_Load_Calculation!H$25*9/5)+32)-85)</f>
        <v>#N/A</v>
      </c>
      <c r="L28" s="95" t="e">
        <f>(L6+$J17)*$D$2+(78-((Cooling_Load_Calculation!$D$4*9/5)+32))+(((Cooling_Load_Calculation!I$25*9/5)+32)-85)</f>
        <v>#N/A</v>
      </c>
      <c r="M28" s="95" t="e">
        <f>(M6+$J17)*$D$2+(78-((Cooling_Load_Calculation!$D$4*9/5)+32))+(((Cooling_Load_Calculation!J$25*9/5)+32)-85)</f>
        <v>#N/A</v>
      </c>
      <c r="N28" s="95" t="e">
        <f>(N6+$J17)*$D$2+(78-((Cooling_Load_Calculation!$D$4*9/5)+32))+(((Cooling_Load_Calculation!K$25*9/5)+32)-85)</f>
        <v>#N/A</v>
      </c>
      <c r="O28" s="95" t="e">
        <f>(O6+$J17)*$D$2+(78-((Cooling_Load_Calculation!$D$4*9/5)+32))+(((Cooling_Load_Calculation!L$25*9/5)+32)-85)</f>
        <v>#N/A</v>
      </c>
      <c r="P28" s="95" t="e">
        <f>(P6+$J17)*$D$2+(78-((Cooling_Load_Calculation!$D$4*9/5)+32))+(((Cooling_Load_Calculation!M$25*9/5)+32)-85)</f>
        <v>#N/A</v>
      </c>
      <c r="Q28" s="95" t="e">
        <f>(Q6+$J17)*$D$2+(78-((Cooling_Load_Calculation!$D$4*9/5)+32))+(((Cooling_Load_Calculation!N$25*9/5)+32)-85)</f>
        <v>#N/A</v>
      </c>
      <c r="R28" s="95" t="e">
        <f>(R6+$J17)*$D$2+(78-((Cooling_Load_Calculation!$D$4*9/5)+32))+(((Cooling_Load_Calculation!O$25*9/5)+32)-85)</f>
        <v>#N/A</v>
      </c>
      <c r="S28" s="95" t="e">
        <f>(S6+$J17)*$D$2+(78-((Cooling_Load_Calculation!$D$4*9/5)+32))+(((Cooling_Load_Calculation!P$25*9/5)+32)-85)</f>
        <v>#N/A</v>
      </c>
      <c r="T28" s="95" t="e">
        <f>(T6+$J17)*$D$2+(78-((Cooling_Load_Calculation!$D$4*9/5)+32))+(((Cooling_Load_Calculation!Q$25*9/5)+32)-85)</f>
        <v>#N/A</v>
      </c>
      <c r="U28" s="95" t="e">
        <f>(U6+$J17)*$D$2+(78-((Cooling_Load_Calculation!$D$4*9/5)+32))+(((Cooling_Load_Calculation!R$25*9/5)+32)-85)</f>
        <v>#N/A</v>
      </c>
      <c r="V28" s="95" t="e">
        <f>(V6+$J17)*$D$2+(78-((Cooling_Load_Calculation!$D$4*9/5)+32))+(((Cooling_Load_Calculation!S$25*9/5)+32)-85)</f>
        <v>#N/A</v>
      </c>
      <c r="W28" s="95" t="e">
        <f>(W6+$J17)*$D$2+(78-((Cooling_Load_Calculation!$D$4*9/5)+32))+(((Cooling_Load_Calculation!T$25*9/5)+32)-85)</f>
        <v>#N/A</v>
      </c>
      <c r="X28" s="95" t="e">
        <f>(X6+$J17)*$D$2+(78-((Cooling_Load_Calculation!$D$4*9/5)+32))+(((Cooling_Load_Calculation!U$25*9/5)+32)-85)</f>
        <v>#N/A</v>
      </c>
      <c r="Y28" s="95" t="e">
        <f>(Y6+$J17)*$D$2+(78-((Cooling_Load_Calculation!$D$4*9/5)+32))+(((Cooling_Load_Calculation!V$25*9/5)+32)-85)</f>
        <v>#N/A</v>
      </c>
      <c r="Z28" s="96" t="e">
        <f>(Z6+$J17)*$D$2+(78-((Cooling_Load_Calculation!$D$4*9/5)+32))+(((Cooling_Load_Calculation!W$25*9/5)+32)-85)</f>
        <v>#N/A</v>
      </c>
      <c r="AE28" s="94" t="s">
        <v>184</v>
      </c>
      <c r="AF28" s="95">
        <v>21</v>
      </c>
      <c r="AG28" s="95">
        <v>19</v>
      </c>
      <c r="AH28" s="95">
        <v>18</v>
      </c>
      <c r="AI28" s="95">
        <v>16</v>
      </c>
      <c r="AJ28" s="95">
        <v>15</v>
      </c>
      <c r="AK28" s="95">
        <v>14</v>
      </c>
      <c r="AL28" s="95">
        <v>14</v>
      </c>
      <c r="AM28" s="95">
        <v>13</v>
      </c>
      <c r="AN28" s="95">
        <v>13</v>
      </c>
      <c r="AO28" s="95">
        <v>14</v>
      </c>
      <c r="AP28" s="95">
        <v>15</v>
      </c>
      <c r="AQ28" s="95">
        <v>17</v>
      </c>
      <c r="AR28" s="95">
        <v>20</v>
      </c>
      <c r="AS28" s="95">
        <v>22</v>
      </c>
      <c r="AT28" s="95">
        <v>25</v>
      </c>
      <c r="AU28" s="95">
        <v>27</v>
      </c>
      <c r="AV28" s="96">
        <v>28</v>
      </c>
    </row>
    <row r="29" spans="7:48" x14ac:dyDescent="0.3">
      <c r="G29" s="216"/>
      <c r="I29" s="94" t="s">
        <v>184</v>
      </c>
      <c r="J29" s="95" t="e">
        <f>(J7+$J18)*$D$2+(78-((Cooling_Load_Calculation!$D$4*9/5)+32))+(((Cooling_Load_Calculation!G$25*9/5)+32)-85)</f>
        <v>#N/A</v>
      </c>
      <c r="K29" s="95" t="e">
        <f>(K7+$J18)*$D$2+(78-((Cooling_Load_Calculation!$D$4*9/5)+32))+(((Cooling_Load_Calculation!H$25*9/5)+32)-85)</f>
        <v>#N/A</v>
      </c>
      <c r="L29" s="95" t="e">
        <f>(L7+$J18)*$D$2+(78-((Cooling_Load_Calculation!$D$4*9/5)+32))+(((Cooling_Load_Calculation!I$25*9/5)+32)-85)</f>
        <v>#N/A</v>
      </c>
      <c r="M29" s="95" t="e">
        <f>(M7+$J18)*$D$2+(78-((Cooling_Load_Calculation!$D$4*9/5)+32))+(((Cooling_Load_Calculation!J$25*9/5)+32)-85)</f>
        <v>#N/A</v>
      </c>
      <c r="N29" s="95" t="e">
        <f>(N7+$J18)*$D$2+(78-((Cooling_Load_Calculation!$D$4*9/5)+32))+(((Cooling_Load_Calculation!K$25*9/5)+32)-85)</f>
        <v>#N/A</v>
      </c>
      <c r="O29" s="95" t="e">
        <f>(O7+$J18)*$D$2+(78-((Cooling_Load_Calculation!$D$4*9/5)+32))+(((Cooling_Load_Calculation!L$25*9/5)+32)-85)</f>
        <v>#N/A</v>
      </c>
      <c r="P29" s="95" t="e">
        <f>(P7+$J18)*$D$2+(78-((Cooling_Load_Calculation!$D$4*9/5)+32))+(((Cooling_Load_Calculation!M$25*9/5)+32)-85)</f>
        <v>#N/A</v>
      </c>
      <c r="Q29" s="95" t="e">
        <f>(Q7+$J18)*$D$2+(78-((Cooling_Load_Calculation!$D$4*9/5)+32))+(((Cooling_Load_Calculation!N$25*9/5)+32)-85)</f>
        <v>#N/A</v>
      </c>
      <c r="R29" s="95" t="e">
        <f>(R7+$J18)*$D$2+(78-((Cooling_Load_Calculation!$D$4*9/5)+32))+(((Cooling_Load_Calculation!O$25*9/5)+32)-85)</f>
        <v>#N/A</v>
      </c>
      <c r="S29" s="95" t="e">
        <f>(S7+$J18)*$D$2+(78-((Cooling_Load_Calculation!$D$4*9/5)+32))+(((Cooling_Load_Calculation!P$25*9/5)+32)-85)</f>
        <v>#N/A</v>
      </c>
      <c r="T29" s="95" t="e">
        <f>(T7+$J18)*$D$2+(78-((Cooling_Load_Calculation!$D$4*9/5)+32))+(((Cooling_Load_Calculation!Q$25*9/5)+32)-85)</f>
        <v>#N/A</v>
      </c>
      <c r="U29" s="95" t="e">
        <f>(U7+$J18)*$D$2+(78-((Cooling_Load_Calculation!$D$4*9/5)+32))+(((Cooling_Load_Calculation!R$25*9/5)+32)-85)</f>
        <v>#N/A</v>
      </c>
      <c r="V29" s="95" t="e">
        <f>(V7+$J18)*$D$2+(78-((Cooling_Load_Calculation!$D$4*9/5)+32))+(((Cooling_Load_Calculation!S$25*9/5)+32)-85)</f>
        <v>#N/A</v>
      </c>
      <c r="W29" s="95" t="e">
        <f>(W7+$J18)*$D$2+(78-((Cooling_Load_Calculation!$D$4*9/5)+32))+(((Cooling_Load_Calculation!T$25*9/5)+32)-85)</f>
        <v>#N/A</v>
      </c>
      <c r="X29" s="95" t="e">
        <f>(X7+$J18)*$D$2+(78-((Cooling_Load_Calculation!$D$4*9/5)+32))+(((Cooling_Load_Calculation!U$25*9/5)+32)-85)</f>
        <v>#N/A</v>
      </c>
      <c r="Y29" s="95" t="e">
        <f>(Y7+$J18)*$D$2+(78-((Cooling_Load_Calculation!$D$4*9/5)+32))+(((Cooling_Load_Calculation!V$25*9/5)+32)-85)</f>
        <v>#N/A</v>
      </c>
      <c r="Z29" s="96" t="e">
        <f>(Z7+$J18)*$D$2+(78-((Cooling_Load_Calculation!$D$4*9/5)+32))+(((Cooling_Load_Calculation!W$25*9/5)+32)-85)</f>
        <v>#N/A</v>
      </c>
      <c r="AE29" s="94" t="s">
        <v>185</v>
      </c>
      <c r="AF29" s="95">
        <v>23</v>
      </c>
      <c r="AG29" s="95">
        <v>21</v>
      </c>
      <c r="AH29" s="95">
        <v>19</v>
      </c>
      <c r="AI29" s="95">
        <v>18</v>
      </c>
      <c r="AJ29" s="95">
        <v>17</v>
      </c>
      <c r="AK29" s="95">
        <v>16</v>
      </c>
      <c r="AL29" s="95">
        <v>15</v>
      </c>
      <c r="AM29" s="95">
        <v>14</v>
      </c>
      <c r="AN29" s="95">
        <v>14</v>
      </c>
      <c r="AO29" s="95">
        <v>14</v>
      </c>
      <c r="AP29" s="95">
        <v>15</v>
      </c>
      <c r="AQ29" s="95">
        <v>17</v>
      </c>
      <c r="AR29" s="95">
        <v>19</v>
      </c>
      <c r="AS29" s="95">
        <v>22</v>
      </c>
      <c r="AT29" s="95">
        <v>25</v>
      </c>
      <c r="AU29" s="95">
        <v>27</v>
      </c>
      <c r="AV29" s="96">
        <v>29</v>
      </c>
    </row>
    <row r="30" spans="7:48" ht="15" thickBot="1" x14ac:dyDescent="0.35">
      <c r="G30" s="216"/>
      <c r="I30" s="94" t="s">
        <v>185</v>
      </c>
      <c r="J30" s="95" t="e">
        <f>(J8+$J19)*$D$2+(78-((Cooling_Load_Calculation!$D$4*9/5)+32))+(((Cooling_Load_Calculation!G$25*9/5)+32)-85)</f>
        <v>#N/A</v>
      </c>
      <c r="K30" s="95" t="e">
        <f>(K8+$J19)*$D$2+(78-((Cooling_Load_Calculation!$D$4*9/5)+32))+(((Cooling_Load_Calculation!H$25*9/5)+32)-85)</f>
        <v>#N/A</v>
      </c>
      <c r="L30" s="95" t="e">
        <f>(L8+$J19)*$D$2+(78-((Cooling_Load_Calculation!$D$4*9/5)+32))+(((Cooling_Load_Calculation!I$25*9/5)+32)-85)</f>
        <v>#N/A</v>
      </c>
      <c r="M30" s="95" t="e">
        <f>(M8+$J19)*$D$2+(78-((Cooling_Load_Calculation!$D$4*9/5)+32))+(((Cooling_Load_Calculation!J$25*9/5)+32)-85)</f>
        <v>#N/A</v>
      </c>
      <c r="N30" s="95" t="e">
        <f>(N8+$J19)*$D$2+(78-((Cooling_Load_Calculation!$D$4*9/5)+32))+(((Cooling_Load_Calculation!K$25*9/5)+32)-85)</f>
        <v>#N/A</v>
      </c>
      <c r="O30" s="95" t="e">
        <f>(O8+$J19)*$D$2+(78-((Cooling_Load_Calculation!$D$4*9/5)+32))+(((Cooling_Load_Calculation!L$25*9/5)+32)-85)</f>
        <v>#N/A</v>
      </c>
      <c r="P30" s="95" t="e">
        <f>(P8+$J19)*$D$2+(78-((Cooling_Load_Calculation!$D$4*9/5)+32))+(((Cooling_Load_Calculation!M$25*9/5)+32)-85)</f>
        <v>#N/A</v>
      </c>
      <c r="Q30" s="95" t="e">
        <f>(Q8+$J19)*$D$2+(78-((Cooling_Load_Calculation!$D$4*9/5)+32))+(((Cooling_Load_Calculation!N$25*9/5)+32)-85)</f>
        <v>#N/A</v>
      </c>
      <c r="R30" s="95" t="e">
        <f>(R8+$J19)*$D$2+(78-((Cooling_Load_Calculation!$D$4*9/5)+32))+(((Cooling_Load_Calculation!O$25*9/5)+32)-85)</f>
        <v>#N/A</v>
      </c>
      <c r="S30" s="95" t="e">
        <f>(S8+$J19)*$D$2+(78-((Cooling_Load_Calculation!$D$4*9/5)+32))+(((Cooling_Load_Calculation!P$25*9/5)+32)-85)</f>
        <v>#N/A</v>
      </c>
      <c r="T30" s="95" t="e">
        <f>(T8+$J19)*$D$2+(78-((Cooling_Load_Calculation!$D$4*9/5)+32))+(((Cooling_Load_Calculation!Q$25*9/5)+32)-85)</f>
        <v>#N/A</v>
      </c>
      <c r="U30" s="95" t="e">
        <f>(U8+$J19)*$D$2+(78-((Cooling_Load_Calculation!$D$4*9/5)+32))+(((Cooling_Load_Calculation!R$25*9/5)+32)-85)</f>
        <v>#N/A</v>
      </c>
      <c r="V30" s="95" t="e">
        <f>(V8+$J19)*$D$2+(78-((Cooling_Load_Calculation!$D$4*9/5)+32))+(((Cooling_Load_Calculation!S$25*9/5)+32)-85)</f>
        <v>#N/A</v>
      </c>
      <c r="W30" s="95" t="e">
        <f>(W8+$J19)*$D$2+(78-((Cooling_Load_Calculation!$D$4*9/5)+32))+(((Cooling_Load_Calculation!T$25*9/5)+32)-85)</f>
        <v>#N/A</v>
      </c>
      <c r="X30" s="95" t="e">
        <f>(X8+$J19)*$D$2+(78-((Cooling_Load_Calculation!$D$4*9/5)+32))+(((Cooling_Load_Calculation!U$25*9/5)+32)-85)</f>
        <v>#N/A</v>
      </c>
      <c r="Y30" s="95" t="e">
        <f>(Y8+$J19)*$D$2+(78-((Cooling_Load_Calculation!$D$4*9/5)+32))+(((Cooling_Load_Calculation!V$25*9/5)+32)-85)</f>
        <v>#N/A</v>
      </c>
      <c r="Z30" s="96" t="e">
        <f>(Z8+$J19)*$D$2+(78-((Cooling_Load_Calculation!$D$4*9/5)+32))+(((Cooling_Load_Calculation!W$25*9/5)+32)-85)</f>
        <v>#N/A</v>
      </c>
      <c r="AE30" s="97" t="s">
        <v>186</v>
      </c>
      <c r="AF30" s="98">
        <v>18</v>
      </c>
      <c r="AG30" s="98">
        <v>17</v>
      </c>
      <c r="AH30" s="98">
        <v>15</v>
      </c>
      <c r="AI30" s="98">
        <v>14</v>
      </c>
      <c r="AJ30" s="98">
        <v>13</v>
      </c>
      <c r="AK30" s="98">
        <v>12</v>
      </c>
      <c r="AL30" s="98">
        <v>12</v>
      </c>
      <c r="AM30" s="98">
        <v>12</v>
      </c>
      <c r="AN30" s="98">
        <v>11</v>
      </c>
      <c r="AO30" s="98">
        <v>12</v>
      </c>
      <c r="AP30" s="98">
        <v>12</v>
      </c>
      <c r="AQ30" s="98">
        <v>13</v>
      </c>
      <c r="AR30" s="98">
        <v>15</v>
      </c>
      <c r="AS30" s="98">
        <v>17</v>
      </c>
      <c r="AT30" s="98">
        <v>19</v>
      </c>
      <c r="AU30" s="98">
        <v>21</v>
      </c>
      <c r="AV30" s="99">
        <v>22</v>
      </c>
    </row>
    <row r="31" spans="7:48" ht="15" thickBot="1" x14ac:dyDescent="0.35">
      <c r="G31" s="217"/>
      <c r="I31" s="97" t="s">
        <v>186</v>
      </c>
      <c r="J31" s="98" t="e">
        <f>(J9+$J20)*$D$2+(78-((Cooling_Load_Calculation!$D$4*9/5)+32))+(((Cooling_Load_Calculation!G$25*9/5)+32)-85)</f>
        <v>#N/A</v>
      </c>
      <c r="K31" s="98" t="e">
        <f>(K9+$J20)*$D$2+(78-((Cooling_Load_Calculation!$D$4*9/5)+32))+(((Cooling_Load_Calculation!H$25*9/5)+32)-85)</f>
        <v>#N/A</v>
      </c>
      <c r="L31" s="98" t="e">
        <f>(L9+$J20)*$D$2+(78-((Cooling_Load_Calculation!$D$4*9/5)+32))+(((Cooling_Load_Calculation!I$25*9/5)+32)-85)</f>
        <v>#N/A</v>
      </c>
      <c r="M31" s="98" t="e">
        <f>(M9+$J20)*$D$2+(78-((Cooling_Load_Calculation!$D$4*9/5)+32))+(((Cooling_Load_Calculation!J$25*9/5)+32)-85)</f>
        <v>#N/A</v>
      </c>
      <c r="N31" s="98" t="e">
        <f>(N9+$J20)*$D$2+(78-((Cooling_Load_Calculation!$D$4*9/5)+32))+(((Cooling_Load_Calculation!K$25*9/5)+32)-85)</f>
        <v>#N/A</v>
      </c>
      <c r="O31" s="98" t="e">
        <f>(O9+$J20)*$D$2+(78-((Cooling_Load_Calculation!$D$4*9/5)+32))+(((Cooling_Load_Calculation!L$25*9/5)+32)-85)</f>
        <v>#N/A</v>
      </c>
      <c r="P31" s="98" t="e">
        <f>(P9+$J20)*$D$2+(78-((Cooling_Load_Calculation!$D$4*9/5)+32))+(((Cooling_Load_Calculation!M$25*9/5)+32)-85)</f>
        <v>#N/A</v>
      </c>
      <c r="Q31" s="98" t="e">
        <f>(Q9+$J20)*$D$2+(78-((Cooling_Load_Calculation!$D$4*9/5)+32))+(((Cooling_Load_Calculation!N$25*9/5)+32)-85)</f>
        <v>#N/A</v>
      </c>
      <c r="R31" s="98" t="e">
        <f>(R9+$J20)*$D$2+(78-((Cooling_Load_Calculation!$D$4*9/5)+32))+(((Cooling_Load_Calculation!O$25*9/5)+32)-85)</f>
        <v>#N/A</v>
      </c>
      <c r="S31" s="98" t="e">
        <f>(S9+$J20)*$D$2+(78-((Cooling_Load_Calculation!$D$4*9/5)+32))+(((Cooling_Load_Calculation!P$25*9/5)+32)-85)</f>
        <v>#N/A</v>
      </c>
      <c r="T31" s="98" t="e">
        <f>(T9+$J20)*$D$2+(78-((Cooling_Load_Calculation!$D$4*9/5)+32))+(((Cooling_Load_Calculation!Q$25*9/5)+32)-85)</f>
        <v>#N/A</v>
      </c>
      <c r="U31" s="98" t="e">
        <f>(U9+$J20)*$D$2+(78-((Cooling_Load_Calculation!$D$4*9/5)+32))+(((Cooling_Load_Calculation!R$25*9/5)+32)-85)</f>
        <v>#N/A</v>
      </c>
      <c r="V31" s="98" t="e">
        <f>(V9+$J20)*$D$2+(78-((Cooling_Load_Calculation!$D$4*9/5)+32))+(((Cooling_Load_Calculation!S$25*9/5)+32)-85)</f>
        <v>#N/A</v>
      </c>
      <c r="W31" s="98" t="e">
        <f>(W9+$J20)*$D$2+(78-((Cooling_Load_Calculation!$D$4*9/5)+32))+(((Cooling_Load_Calculation!T$25*9/5)+32)-85)</f>
        <v>#N/A</v>
      </c>
      <c r="X31" s="98" t="e">
        <f>(X9+$J20)*$D$2+(78-((Cooling_Load_Calculation!$D$4*9/5)+32))+(((Cooling_Load_Calculation!U$25*9/5)+32)-85)</f>
        <v>#N/A</v>
      </c>
      <c r="Y31" s="98" t="e">
        <f>(Y9+$J20)*$D$2+(78-((Cooling_Load_Calculation!$D$4*9/5)+32))+(((Cooling_Load_Calculation!V$25*9/5)+32)-85)</f>
        <v>#N/A</v>
      </c>
      <c r="Z31" s="99" t="e">
        <f>(Z9+$J20)*$D$2+(78-((Cooling_Load_Calculation!$D$4*9/5)+32))+(((Cooling_Load_Calculation!W$25*9/5)+32)-85)</f>
        <v>#N/A</v>
      </c>
      <c r="AE31" s="122"/>
      <c r="AF31" s="218" t="s">
        <v>204</v>
      </c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219"/>
      <c r="AS31" s="219"/>
      <c r="AT31" s="219"/>
      <c r="AU31" s="219"/>
      <c r="AV31" s="220"/>
    </row>
    <row r="32" spans="7:48" x14ac:dyDescent="0.3">
      <c r="AE32" s="94" t="s">
        <v>77</v>
      </c>
      <c r="AF32" s="95">
        <v>10</v>
      </c>
      <c r="AG32" s="95">
        <v>9</v>
      </c>
      <c r="AH32" s="95">
        <v>8</v>
      </c>
      <c r="AI32" s="95">
        <v>8</v>
      </c>
      <c r="AJ32" s="95">
        <v>7</v>
      </c>
      <c r="AK32" s="95">
        <v>7</v>
      </c>
      <c r="AL32" s="95">
        <v>8</v>
      </c>
      <c r="AM32" s="95">
        <v>8</v>
      </c>
      <c r="AN32" s="95">
        <v>9</v>
      </c>
      <c r="AO32" s="95">
        <v>10</v>
      </c>
      <c r="AP32" s="95">
        <v>12</v>
      </c>
      <c r="AQ32" s="95">
        <v>13</v>
      </c>
      <c r="AR32" s="95">
        <v>14</v>
      </c>
      <c r="AS32" s="95">
        <v>15</v>
      </c>
      <c r="AT32" s="95">
        <v>16</v>
      </c>
      <c r="AU32" s="95">
        <v>17</v>
      </c>
      <c r="AV32" s="96">
        <v>17</v>
      </c>
    </row>
    <row r="33" spans="31:48" x14ac:dyDescent="0.3">
      <c r="AE33" s="94" t="s">
        <v>182</v>
      </c>
      <c r="AF33" s="95">
        <v>11</v>
      </c>
      <c r="AG33" s="95">
        <v>10</v>
      </c>
      <c r="AH33" s="95">
        <v>10</v>
      </c>
      <c r="AI33" s="95">
        <v>11</v>
      </c>
      <c r="AJ33" s="95">
        <v>13</v>
      </c>
      <c r="AK33" s="95">
        <v>15</v>
      </c>
      <c r="AL33" s="95">
        <v>17</v>
      </c>
      <c r="AM33" s="95">
        <v>19</v>
      </c>
      <c r="AN33" s="95">
        <v>20</v>
      </c>
      <c r="AO33" s="95">
        <v>21</v>
      </c>
      <c r="AP33" s="95">
        <v>22</v>
      </c>
      <c r="AQ33" s="95">
        <v>22</v>
      </c>
      <c r="AR33" s="95">
        <v>23</v>
      </c>
      <c r="AS33" s="95">
        <v>23</v>
      </c>
      <c r="AT33" s="95">
        <v>23</v>
      </c>
      <c r="AU33" s="95">
        <v>23</v>
      </c>
      <c r="AV33" s="96">
        <v>22</v>
      </c>
    </row>
    <row r="34" spans="31:48" x14ac:dyDescent="0.3">
      <c r="AE34" s="94" t="s">
        <v>181</v>
      </c>
      <c r="AF34" s="95">
        <v>14</v>
      </c>
      <c r="AG34" s="95">
        <v>12</v>
      </c>
      <c r="AH34" s="95">
        <v>12</v>
      </c>
      <c r="AI34" s="95">
        <v>14</v>
      </c>
      <c r="AJ34" s="95">
        <v>16</v>
      </c>
      <c r="AK34" s="95">
        <v>19</v>
      </c>
      <c r="AL34" s="95">
        <v>22</v>
      </c>
      <c r="AM34" s="95">
        <v>25</v>
      </c>
      <c r="AN34" s="95">
        <v>27</v>
      </c>
      <c r="AO34" s="95">
        <v>29</v>
      </c>
      <c r="AP34" s="95">
        <v>29</v>
      </c>
      <c r="AQ34" s="95">
        <v>30</v>
      </c>
      <c r="AR34" s="95">
        <v>30</v>
      </c>
      <c r="AS34" s="95">
        <v>30</v>
      </c>
      <c r="AT34" s="95">
        <v>29</v>
      </c>
      <c r="AU34" s="95">
        <v>28</v>
      </c>
      <c r="AV34" s="96">
        <v>27</v>
      </c>
    </row>
    <row r="35" spans="31:48" x14ac:dyDescent="0.3">
      <c r="AE35" s="94" t="s">
        <v>183</v>
      </c>
      <c r="AF35" s="95">
        <v>14</v>
      </c>
      <c r="AG35" s="95">
        <v>12</v>
      </c>
      <c r="AH35" s="95">
        <v>12</v>
      </c>
      <c r="AI35" s="95">
        <v>12</v>
      </c>
      <c r="AJ35" s="95">
        <v>13</v>
      </c>
      <c r="AK35" s="95">
        <v>16</v>
      </c>
      <c r="AL35" s="95">
        <v>19</v>
      </c>
      <c r="AM35" s="95">
        <v>22</v>
      </c>
      <c r="AN35" s="95">
        <v>24</v>
      </c>
      <c r="AO35" s="95">
        <v>26</v>
      </c>
      <c r="AP35" s="95">
        <v>28</v>
      </c>
      <c r="AQ35" s="95">
        <v>29</v>
      </c>
      <c r="AR35" s="95">
        <v>29</v>
      </c>
      <c r="AS35" s="95">
        <v>29</v>
      </c>
      <c r="AT35" s="95">
        <v>29</v>
      </c>
      <c r="AU35" s="95">
        <v>28</v>
      </c>
      <c r="AV35" s="96">
        <v>27</v>
      </c>
    </row>
    <row r="36" spans="31:48" x14ac:dyDescent="0.3">
      <c r="AE36" s="94" t="s">
        <v>187</v>
      </c>
      <c r="AF36" s="95">
        <v>13</v>
      </c>
      <c r="AG36" s="95">
        <v>12</v>
      </c>
      <c r="AH36" s="95">
        <v>10</v>
      </c>
      <c r="AI36" s="95">
        <v>9</v>
      </c>
      <c r="AJ36" s="95">
        <v>9</v>
      </c>
      <c r="AK36" s="95">
        <v>9</v>
      </c>
      <c r="AL36" s="95">
        <v>10</v>
      </c>
      <c r="AM36" s="95">
        <v>11</v>
      </c>
      <c r="AN36" s="95">
        <v>14</v>
      </c>
      <c r="AO36" s="95">
        <v>17</v>
      </c>
      <c r="AP36" s="95">
        <v>20</v>
      </c>
      <c r="AQ36" s="95">
        <v>22</v>
      </c>
      <c r="AR36" s="95">
        <v>24</v>
      </c>
      <c r="AS36" s="95">
        <v>25</v>
      </c>
      <c r="AT36" s="95">
        <v>26</v>
      </c>
      <c r="AU36" s="95">
        <v>25</v>
      </c>
      <c r="AV36" s="96">
        <v>25</v>
      </c>
    </row>
    <row r="37" spans="31:48" x14ac:dyDescent="0.3">
      <c r="AE37" s="94" t="s">
        <v>184</v>
      </c>
      <c r="AF37" s="95">
        <v>18</v>
      </c>
      <c r="AG37" s="95">
        <v>16</v>
      </c>
      <c r="AH37" s="95">
        <v>15</v>
      </c>
      <c r="AI37" s="95">
        <v>13</v>
      </c>
      <c r="AJ37" s="95">
        <v>12</v>
      </c>
      <c r="AK37" s="95">
        <v>11</v>
      </c>
      <c r="AL37" s="95">
        <v>11</v>
      </c>
      <c r="AM37" s="95">
        <v>11</v>
      </c>
      <c r="AN37" s="95">
        <v>13</v>
      </c>
      <c r="AO37" s="95">
        <v>15</v>
      </c>
      <c r="AP37" s="95">
        <v>18</v>
      </c>
      <c r="AQ37" s="95">
        <v>22</v>
      </c>
      <c r="AR37" s="95">
        <v>26</v>
      </c>
      <c r="AS37" s="95">
        <v>29</v>
      </c>
      <c r="AT37" s="95">
        <v>32</v>
      </c>
      <c r="AU37" s="95">
        <v>33</v>
      </c>
      <c r="AV37" s="96">
        <v>33</v>
      </c>
    </row>
    <row r="38" spans="31:48" x14ac:dyDescent="0.3">
      <c r="AE38" s="94" t="s">
        <v>185</v>
      </c>
      <c r="AF38" s="95">
        <v>20</v>
      </c>
      <c r="AG38" s="95">
        <v>18</v>
      </c>
      <c r="AH38" s="95">
        <v>16</v>
      </c>
      <c r="AI38" s="95">
        <v>14</v>
      </c>
      <c r="AJ38" s="95">
        <v>13</v>
      </c>
      <c r="AK38" s="95">
        <v>12</v>
      </c>
      <c r="AL38" s="95">
        <v>12</v>
      </c>
      <c r="AM38" s="95">
        <v>12</v>
      </c>
      <c r="AN38" s="95">
        <v>13</v>
      </c>
      <c r="AO38" s="95">
        <v>14</v>
      </c>
      <c r="AP38" s="95">
        <v>16</v>
      </c>
      <c r="AQ38" s="95">
        <v>20</v>
      </c>
      <c r="AR38" s="95">
        <v>24</v>
      </c>
      <c r="AS38" s="95">
        <v>29</v>
      </c>
      <c r="AT38" s="95">
        <v>32</v>
      </c>
      <c r="AU38" s="95">
        <v>35</v>
      </c>
      <c r="AV38" s="96">
        <v>35</v>
      </c>
    </row>
    <row r="39" spans="31:48" ht="15" thickBot="1" x14ac:dyDescent="0.35">
      <c r="AE39" s="97" t="s">
        <v>186</v>
      </c>
      <c r="AF39" s="98">
        <v>16</v>
      </c>
      <c r="AG39" s="98">
        <v>14</v>
      </c>
      <c r="AH39" s="98">
        <v>13</v>
      </c>
      <c r="AI39" s="98">
        <v>11</v>
      </c>
      <c r="AJ39" s="98">
        <v>10</v>
      </c>
      <c r="AK39" s="98">
        <v>10</v>
      </c>
      <c r="AL39" s="98">
        <v>10</v>
      </c>
      <c r="AM39" s="98">
        <v>10</v>
      </c>
      <c r="AN39" s="98">
        <v>11</v>
      </c>
      <c r="AO39" s="98">
        <v>12</v>
      </c>
      <c r="AP39" s="98">
        <v>13</v>
      </c>
      <c r="AQ39" s="98">
        <v>15</v>
      </c>
      <c r="AR39" s="98">
        <v>18</v>
      </c>
      <c r="AS39" s="98">
        <v>22</v>
      </c>
      <c r="AT39" s="98">
        <v>25</v>
      </c>
      <c r="AU39" s="98">
        <v>27</v>
      </c>
      <c r="AV39" s="99">
        <v>27</v>
      </c>
    </row>
    <row r="40" spans="31:48" x14ac:dyDescent="0.3">
      <c r="AE40" s="122"/>
      <c r="AF40" s="218" t="s">
        <v>205</v>
      </c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19"/>
      <c r="AU40" s="219"/>
      <c r="AV40" s="220"/>
    </row>
    <row r="41" spans="31:48" x14ac:dyDescent="0.3">
      <c r="AE41" s="94" t="s">
        <v>77</v>
      </c>
      <c r="AF41" s="95">
        <v>7</v>
      </c>
      <c r="AG41" s="95">
        <v>6</v>
      </c>
      <c r="AH41" s="95">
        <v>6</v>
      </c>
      <c r="AI41" s="95">
        <v>6</v>
      </c>
      <c r="AJ41" s="95">
        <v>6</v>
      </c>
      <c r="AK41" s="95">
        <v>6</v>
      </c>
      <c r="AL41" s="95">
        <v>7</v>
      </c>
      <c r="AM41" s="95">
        <v>8</v>
      </c>
      <c r="AN41" s="95">
        <v>10</v>
      </c>
      <c r="AO41" s="95">
        <v>12</v>
      </c>
      <c r="AP41" s="95">
        <v>13</v>
      </c>
      <c r="AQ41" s="95">
        <v>15</v>
      </c>
      <c r="AR41" s="95">
        <v>17</v>
      </c>
      <c r="AS41" s="95">
        <v>18</v>
      </c>
      <c r="AT41" s="95">
        <v>19</v>
      </c>
      <c r="AU41" s="95">
        <v>19</v>
      </c>
      <c r="AV41" s="96">
        <v>19</v>
      </c>
    </row>
    <row r="42" spans="31:48" x14ac:dyDescent="0.3">
      <c r="AE42" s="94" t="s">
        <v>182</v>
      </c>
      <c r="AF42" s="95">
        <v>8</v>
      </c>
      <c r="AG42" s="95">
        <v>7</v>
      </c>
      <c r="AH42" s="95">
        <v>8</v>
      </c>
      <c r="AI42" s="95">
        <v>10</v>
      </c>
      <c r="AJ42" s="95">
        <v>14</v>
      </c>
      <c r="AK42" s="95">
        <v>17</v>
      </c>
      <c r="AL42" s="95">
        <v>20</v>
      </c>
      <c r="AM42" s="95">
        <v>22</v>
      </c>
      <c r="AN42" s="95">
        <v>23</v>
      </c>
      <c r="AO42" s="95">
        <v>23</v>
      </c>
      <c r="AP42" s="95">
        <v>24</v>
      </c>
      <c r="AQ42" s="95">
        <v>24</v>
      </c>
      <c r="AR42" s="95">
        <v>25</v>
      </c>
      <c r="AS42" s="95">
        <v>25</v>
      </c>
      <c r="AT42" s="95">
        <v>24</v>
      </c>
      <c r="AU42" s="95">
        <v>23</v>
      </c>
      <c r="AV42" s="96">
        <v>22</v>
      </c>
    </row>
    <row r="43" spans="31:48" x14ac:dyDescent="0.3">
      <c r="AE43" s="94" t="s">
        <v>181</v>
      </c>
      <c r="AF43" s="95">
        <v>9</v>
      </c>
      <c r="AG43" s="95">
        <v>8</v>
      </c>
      <c r="AH43" s="95">
        <v>9</v>
      </c>
      <c r="AI43" s="95">
        <v>12</v>
      </c>
      <c r="AJ43" s="95">
        <v>17</v>
      </c>
      <c r="AK43" s="95">
        <v>22</v>
      </c>
      <c r="AL43" s="95">
        <v>27</v>
      </c>
      <c r="AM43" s="95">
        <v>30</v>
      </c>
      <c r="AN43" s="95">
        <v>32</v>
      </c>
      <c r="AO43" s="95">
        <v>33</v>
      </c>
      <c r="AP43" s="95">
        <v>33</v>
      </c>
      <c r="AQ43" s="95">
        <v>32</v>
      </c>
      <c r="AR43" s="95">
        <v>32</v>
      </c>
      <c r="AS43" s="95">
        <v>31</v>
      </c>
      <c r="AT43" s="95">
        <v>30</v>
      </c>
      <c r="AU43" s="95">
        <v>28</v>
      </c>
      <c r="AV43" s="96">
        <v>26</v>
      </c>
    </row>
    <row r="44" spans="31:48" x14ac:dyDescent="0.3">
      <c r="AE44" s="94" t="s">
        <v>183</v>
      </c>
      <c r="AF44" s="95">
        <v>10</v>
      </c>
      <c r="AG44" s="95">
        <v>8</v>
      </c>
      <c r="AH44" s="95">
        <v>8</v>
      </c>
      <c r="AI44" s="95">
        <v>10</v>
      </c>
      <c r="AJ44" s="95">
        <v>13</v>
      </c>
      <c r="AK44" s="95">
        <v>17</v>
      </c>
      <c r="AL44" s="95">
        <v>22</v>
      </c>
      <c r="AM44" s="95">
        <v>26</v>
      </c>
      <c r="AN44" s="95">
        <v>29</v>
      </c>
      <c r="AO44" s="95">
        <v>31</v>
      </c>
      <c r="AP44" s="95">
        <v>32</v>
      </c>
      <c r="AQ44" s="95">
        <v>32</v>
      </c>
      <c r="AR44" s="95">
        <v>32</v>
      </c>
      <c r="AS44" s="95">
        <v>31</v>
      </c>
      <c r="AT44" s="95">
        <v>30</v>
      </c>
      <c r="AU44" s="95">
        <v>28</v>
      </c>
      <c r="AV44" s="96">
        <v>26</v>
      </c>
    </row>
    <row r="45" spans="31:48" x14ac:dyDescent="0.3">
      <c r="AE45" s="94" t="s">
        <v>187</v>
      </c>
      <c r="AF45" s="95">
        <v>9</v>
      </c>
      <c r="AG45" s="95">
        <v>8</v>
      </c>
      <c r="AH45" s="95">
        <v>7</v>
      </c>
      <c r="AI45" s="95">
        <v>6</v>
      </c>
      <c r="AJ45" s="95">
        <v>6</v>
      </c>
      <c r="AK45" s="95">
        <v>7</v>
      </c>
      <c r="AL45" s="95">
        <v>9</v>
      </c>
      <c r="AM45" s="95">
        <v>12</v>
      </c>
      <c r="AN45" s="95">
        <v>16</v>
      </c>
      <c r="AO45" s="95">
        <v>20</v>
      </c>
      <c r="AP45" s="95">
        <v>24</v>
      </c>
      <c r="AQ45" s="95">
        <v>27</v>
      </c>
      <c r="AR45" s="95">
        <v>29</v>
      </c>
      <c r="AS45" s="95">
        <v>29</v>
      </c>
      <c r="AT45" s="95">
        <v>29</v>
      </c>
      <c r="AU45" s="95">
        <v>27</v>
      </c>
      <c r="AV45" s="96">
        <v>26</v>
      </c>
    </row>
    <row r="46" spans="31:48" x14ac:dyDescent="0.3">
      <c r="AE46" s="94" t="s">
        <v>184</v>
      </c>
      <c r="AF46" s="95">
        <v>14</v>
      </c>
      <c r="AG46" s="95">
        <v>12</v>
      </c>
      <c r="AH46" s="95">
        <v>10</v>
      </c>
      <c r="AI46" s="95">
        <v>9</v>
      </c>
      <c r="AJ46" s="95">
        <v>8</v>
      </c>
      <c r="AK46" s="95">
        <v>8</v>
      </c>
      <c r="AL46" s="95">
        <v>8</v>
      </c>
      <c r="AM46" s="95">
        <v>10</v>
      </c>
      <c r="AN46" s="95">
        <v>12</v>
      </c>
      <c r="AO46" s="95">
        <v>16</v>
      </c>
      <c r="AP46" s="95">
        <v>21</v>
      </c>
      <c r="AQ46" s="95">
        <v>27</v>
      </c>
      <c r="AR46" s="95">
        <v>32</v>
      </c>
      <c r="AS46" s="95">
        <v>36</v>
      </c>
      <c r="AT46" s="95">
        <v>38</v>
      </c>
      <c r="AU46" s="95">
        <v>38</v>
      </c>
      <c r="AV46" s="96">
        <v>37</v>
      </c>
    </row>
    <row r="47" spans="31:48" x14ac:dyDescent="0.3">
      <c r="AE47" s="94" t="s">
        <v>185</v>
      </c>
      <c r="AF47" s="95">
        <v>15</v>
      </c>
      <c r="AG47" s="95">
        <v>13</v>
      </c>
      <c r="AH47" s="95">
        <v>11</v>
      </c>
      <c r="AI47" s="95">
        <v>10</v>
      </c>
      <c r="AJ47" s="95">
        <v>9</v>
      </c>
      <c r="AK47" s="95">
        <v>9</v>
      </c>
      <c r="AL47" s="95">
        <v>9</v>
      </c>
      <c r="AM47" s="95">
        <v>10</v>
      </c>
      <c r="AN47" s="95">
        <v>11</v>
      </c>
      <c r="AO47" s="95">
        <v>14</v>
      </c>
      <c r="AP47" s="95">
        <v>18</v>
      </c>
      <c r="AQ47" s="95">
        <v>24</v>
      </c>
      <c r="AR47" s="95">
        <v>30</v>
      </c>
      <c r="AS47" s="95">
        <v>36</v>
      </c>
      <c r="AT47" s="95">
        <v>40</v>
      </c>
      <c r="AU47" s="95">
        <v>41</v>
      </c>
      <c r="AV47" s="96">
        <v>40</v>
      </c>
    </row>
    <row r="48" spans="31:48" ht="15" thickBot="1" x14ac:dyDescent="0.35">
      <c r="AE48" s="97" t="s">
        <v>186</v>
      </c>
      <c r="AF48" s="98">
        <v>12</v>
      </c>
      <c r="AG48" s="98">
        <v>10</v>
      </c>
      <c r="AH48" s="98">
        <v>9</v>
      </c>
      <c r="AI48" s="98">
        <v>8</v>
      </c>
      <c r="AJ48" s="98">
        <v>7</v>
      </c>
      <c r="AK48" s="98">
        <v>7</v>
      </c>
      <c r="AL48" s="98">
        <v>8</v>
      </c>
      <c r="AM48" s="98">
        <v>9</v>
      </c>
      <c r="AN48" s="98">
        <v>10</v>
      </c>
      <c r="AO48" s="98">
        <v>12</v>
      </c>
      <c r="AP48" s="98">
        <v>14</v>
      </c>
      <c r="AQ48" s="98">
        <v>18</v>
      </c>
      <c r="AR48" s="98">
        <v>22</v>
      </c>
      <c r="AS48" s="98">
        <v>27</v>
      </c>
      <c r="AT48" s="98">
        <v>31</v>
      </c>
      <c r="AU48" s="98">
        <v>32</v>
      </c>
      <c r="AV48" s="99">
        <v>32</v>
      </c>
    </row>
    <row r="49" spans="31:48" x14ac:dyDescent="0.3">
      <c r="AE49" s="122"/>
      <c r="AF49" s="218" t="s">
        <v>206</v>
      </c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20"/>
    </row>
    <row r="50" spans="31:48" x14ac:dyDescent="0.3">
      <c r="AE50" s="94" t="s">
        <v>77</v>
      </c>
      <c r="AF50" s="95">
        <v>4</v>
      </c>
      <c r="AG50" s="95">
        <v>3</v>
      </c>
      <c r="AH50" s="95">
        <v>4</v>
      </c>
      <c r="AI50" s="95">
        <v>5</v>
      </c>
      <c r="AJ50" s="95">
        <v>6</v>
      </c>
      <c r="AK50" s="95">
        <v>7</v>
      </c>
      <c r="AL50" s="95">
        <v>9</v>
      </c>
      <c r="AM50" s="95">
        <v>11</v>
      </c>
      <c r="AN50" s="95">
        <v>13</v>
      </c>
      <c r="AO50" s="95">
        <v>15</v>
      </c>
      <c r="AP50" s="95">
        <v>17</v>
      </c>
      <c r="AQ50" s="95">
        <v>19</v>
      </c>
      <c r="AR50" s="95">
        <v>20</v>
      </c>
      <c r="AS50" s="95">
        <v>21</v>
      </c>
      <c r="AT50" s="95">
        <v>23</v>
      </c>
      <c r="AU50" s="95">
        <v>20</v>
      </c>
      <c r="AV50" s="96">
        <v>18</v>
      </c>
    </row>
    <row r="51" spans="31:48" x14ac:dyDescent="0.3">
      <c r="AE51" s="94" t="s">
        <v>182</v>
      </c>
      <c r="AF51" s="95">
        <v>4</v>
      </c>
      <c r="AG51" s="95">
        <v>5</v>
      </c>
      <c r="AH51" s="95">
        <v>9</v>
      </c>
      <c r="AI51" s="95">
        <v>15</v>
      </c>
      <c r="AJ51" s="95">
        <v>20</v>
      </c>
      <c r="AK51" s="95">
        <v>24</v>
      </c>
      <c r="AL51" s="95">
        <v>25</v>
      </c>
      <c r="AM51" s="95">
        <v>25</v>
      </c>
      <c r="AN51" s="95">
        <v>26</v>
      </c>
      <c r="AO51" s="95">
        <v>26</v>
      </c>
      <c r="AP51" s="95">
        <v>26</v>
      </c>
      <c r="AQ51" s="95">
        <v>26</v>
      </c>
      <c r="AR51" s="95">
        <v>26</v>
      </c>
      <c r="AS51" s="95">
        <v>25</v>
      </c>
      <c r="AT51" s="95">
        <v>24</v>
      </c>
      <c r="AU51" s="95">
        <v>22</v>
      </c>
      <c r="AV51" s="96">
        <v>19</v>
      </c>
    </row>
    <row r="52" spans="31:48" x14ac:dyDescent="0.3">
      <c r="AE52" s="94" t="s">
        <v>181</v>
      </c>
      <c r="AF52" s="95">
        <v>5</v>
      </c>
      <c r="AG52" s="95">
        <v>6</v>
      </c>
      <c r="AH52" s="95">
        <v>11</v>
      </c>
      <c r="AI52" s="95">
        <v>18</v>
      </c>
      <c r="AJ52" s="95">
        <v>26</v>
      </c>
      <c r="AK52" s="95">
        <v>33</v>
      </c>
      <c r="AL52" s="95">
        <v>36</v>
      </c>
      <c r="AM52" s="95">
        <v>38</v>
      </c>
      <c r="AN52" s="95">
        <v>37</v>
      </c>
      <c r="AO52" s="95">
        <v>36</v>
      </c>
      <c r="AP52" s="95">
        <v>34</v>
      </c>
      <c r="AQ52" s="95">
        <v>33</v>
      </c>
      <c r="AR52" s="95">
        <v>32</v>
      </c>
      <c r="AS52" s="95">
        <v>30</v>
      </c>
      <c r="AT52" s="95">
        <v>28</v>
      </c>
      <c r="AU52" s="95">
        <v>25</v>
      </c>
      <c r="AV52" s="96">
        <v>22</v>
      </c>
    </row>
    <row r="53" spans="31:48" x14ac:dyDescent="0.3">
      <c r="AE53" s="94" t="s">
        <v>183</v>
      </c>
      <c r="AF53" s="95">
        <v>5</v>
      </c>
      <c r="AG53" s="95">
        <v>5</v>
      </c>
      <c r="AH53" s="95">
        <v>8</v>
      </c>
      <c r="AI53" s="95">
        <v>12</v>
      </c>
      <c r="AJ53" s="95">
        <v>19</v>
      </c>
      <c r="AK53" s="95">
        <v>25</v>
      </c>
      <c r="AL53" s="95">
        <v>31</v>
      </c>
      <c r="AM53" s="95">
        <v>35</v>
      </c>
      <c r="AN53" s="95">
        <v>37</v>
      </c>
      <c r="AO53" s="95">
        <v>37</v>
      </c>
      <c r="AP53" s="95">
        <v>36</v>
      </c>
      <c r="AQ53" s="95">
        <v>34</v>
      </c>
      <c r="AR53" s="95">
        <v>33</v>
      </c>
      <c r="AS53" s="95">
        <v>31</v>
      </c>
      <c r="AT53" s="95">
        <v>28</v>
      </c>
      <c r="AU53" s="95">
        <v>26</v>
      </c>
      <c r="AV53" s="96">
        <v>23</v>
      </c>
    </row>
    <row r="54" spans="31:48" x14ac:dyDescent="0.3">
      <c r="AE54" s="94" t="s">
        <v>187</v>
      </c>
      <c r="AF54" s="95">
        <v>5</v>
      </c>
      <c r="AG54" s="95">
        <v>4</v>
      </c>
      <c r="AH54" s="95">
        <v>3</v>
      </c>
      <c r="AI54" s="95">
        <v>4</v>
      </c>
      <c r="AJ54" s="95">
        <v>5</v>
      </c>
      <c r="AK54" s="95">
        <v>9</v>
      </c>
      <c r="AL54" s="95">
        <v>13</v>
      </c>
      <c r="AM54" s="95">
        <v>19</v>
      </c>
      <c r="AN54" s="95">
        <v>24</v>
      </c>
      <c r="AO54" s="95">
        <v>29</v>
      </c>
      <c r="AP54" s="95">
        <v>32</v>
      </c>
      <c r="AQ54" s="95">
        <v>34</v>
      </c>
      <c r="AR54" s="95">
        <v>33</v>
      </c>
      <c r="AS54" s="95">
        <v>31</v>
      </c>
      <c r="AT54" s="95">
        <v>29</v>
      </c>
      <c r="AU54" s="95">
        <v>26</v>
      </c>
      <c r="AV54" s="96">
        <v>23</v>
      </c>
    </row>
    <row r="55" spans="31:48" x14ac:dyDescent="0.3">
      <c r="AE55" s="94" t="s">
        <v>184</v>
      </c>
      <c r="AF55" s="95">
        <v>8</v>
      </c>
      <c r="AG55" s="95">
        <v>6</v>
      </c>
      <c r="AH55" s="95">
        <v>5</v>
      </c>
      <c r="AI55" s="95">
        <v>5</v>
      </c>
      <c r="AJ55" s="95">
        <v>6</v>
      </c>
      <c r="AK55" s="95">
        <v>7</v>
      </c>
      <c r="AL55" s="95">
        <v>9</v>
      </c>
      <c r="AM55" s="95">
        <v>12</v>
      </c>
      <c r="AN55" s="95">
        <v>18</v>
      </c>
      <c r="AO55" s="95">
        <v>24</v>
      </c>
      <c r="AP55" s="95">
        <v>32</v>
      </c>
      <c r="AQ55" s="95">
        <v>38</v>
      </c>
      <c r="AR55" s="95">
        <v>43</v>
      </c>
      <c r="AS55" s="95">
        <v>45</v>
      </c>
      <c r="AT55" s="95">
        <v>44</v>
      </c>
      <c r="AU55" s="95">
        <v>40</v>
      </c>
      <c r="AV55" s="96">
        <v>35</v>
      </c>
    </row>
    <row r="56" spans="31:48" x14ac:dyDescent="0.3">
      <c r="AE56" s="94" t="s">
        <v>185</v>
      </c>
      <c r="AF56" s="95">
        <v>9</v>
      </c>
      <c r="AG56" s="95">
        <v>7</v>
      </c>
      <c r="AH56" s="95">
        <v>6</v>
      </c>
      <c r="AI56" s="95">
        <v>6</v>
      </c>
      <c r="AJ56" s="95">
        <v>6</v>
      </c>
      <c r="AK56" s="95">
        <v>7</v>
      </c>
      <c r="AL56" s="95">
        <v>9</v>
      </c>
      <c r="AM56" s="95">
        <v>11</v>
      </c>
      <c r="AN56" s="95">
        <v>14</v>
      </c>
      <c r="AO56" s="95">
        <v>20</v>
      </c>
      <c r="AP56" s="95">
        <v>27</v>
      </c>
      <c r="AQ56" s="95">
        <v>36</v>
      </c>
      <c r="AR56" s="95">
        <v>43</v>
      </c>
      <c r="AS56" s="95">
        <v>49</v>
      </c>
      <c r="AT56" s="95">
        <v>49</v>
      </c>
      <c r="AU56" s="95">
        <v>45</v>
      </c>
      <c r="AV56" s="96">
        <v>40</v>
      </c>
    </row>
    <row r="57" spans="31:48" ht="15" thickBot="1" x14ac:dyDescent="0.35">
      <c r="AE57" s="97" t="s">
        <v>186</v>
      </c>
      <c r="AF57" s="98">
        <v>7</v>
      </c>
      <c r="AG57" s="98">
        <v>6</v>
      </c>
      <c r="AH57" s="98">
        <v>5</v>
      </c>
      <c r="AI57" s="98">
        <v>5</v>
      </c>
      <c r="AJ57" s="98">
        <v>5</v>
      </c>
      <c r="AK57" s="98">
        <v>6</v>
      </c>
      <c r="AL57" s="98">
        <v>8</v>
      </c>
      <c r="AM57" s="98">
        <v>10</v>
      </c>
      <c r="AN57" s="98">
        <v>13</v>
      </c>
      <c r="AO57" s="98">
        <v>16</v>
      </c>
      <c r="AP57" s="98">
        <v>20</v>
      </c>
      <c r="AQ57" s="98">
        <v>26</v>
      </c>
      <c r="AR57" s="98">
        <v>32</v>
      </c>
      <c r="AS57" s="98">
        <v>37</v>
      </c>
      <c r="AT57" s="98">
        <v>38</v>
      </c>
      <c r="AU57" s="98">
        <v>36</v>
      </c>
      <c r="AV57" s="99">
        <v>32</v>
      </c>
    </row>
    <row r="58" spans="31:48" x14ac:dyDescent="0.3">
      <c r="AE58" s="122"/>
      <c r="AF58" s="218" t="s">
        <v>207</v>
      </c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219"/>
      <c r="AU58" s="219"/>
      <c r="AV58" s="220"/>
    </row>
    <row r="59" spans="31:48" x14ac:dyDescent="0.3">
      <c r="AE59" s="94" t="s">
        <v>77</v>
      </c>
      <c r="AF59" s="95">
        <v>1</v>
      </c>
      <c r="AG59" s="95">
        <v>2</v>
      </c>
      <c r="AH59" s="95">
        <v>4</v>
      </c>
      <c r="AI59" s="95">
        <v>6</v>
      </c>
      <c r="AJ59" s="95">
        <v>7</v>
      </c>
      <c r="AK59" s="95">
        <v>9</v>
      </c>
      <c r="AL59" s="95">
        <v>11</v>
      </c>
      <c r="AM59" s="95">
        <v>14</v>
      </c>
      <c r="AN59" s="95">
        <v>17</v>
      </c>
      <c r="AO59" s="95">
        <v>19</v>
      </c>
      <c r="AP59" s="95">
        <v>21</v>
      </c>
      <c r="AQ59" s="95">
        <v>22</v>
      </c>
      <c r="AR59" s="95">
        <v>23</v>
      </c>
      <c r="AS59" s="95">
        <v>24</v>
      </c>
      <c r="AT59" s="95">
        <v>23</v>
      </c>
      <c r="AU59" s="95">
        <v>20</v>
      </c>
      <c r="AV59" s="96">
        <v>16</v>
      </c>
    </row>
    <row r="60" spans="31:48" x14ac:dyDescent="0.3">
      <c r="AE60" s="94" t="s">
        <v>182</v>
      </c>
      <c r="AF60" s="95">
        <v>1</v>
      </c>
      <c r="AG60" s="95">
        <v>5</v>
      </c>
      <c r="AH60" s="95">
        <v>14</v>
      </c>
      <c r="AI60" s="95">
        <v>23</v>
      </c>
      <c r="AJ60" s="95">
        <v>28</v>
      </c>
      <c r="AK60" s="95">
        <v>30</v>
      </c>
      <c r="AL60" s="95">
        <v>29</v>
      </c>
      <c r="AM60" s="95">
        <v>28</v>
      </c>
      <c r="AN60" s="95">
        <v>27</v>
      </c>
      <c r="AO60" s="95">
        <v>27</v>
      </c>
      <c r="AP60" s="95">
        <v>27</v>
      </c>
      <c r="AQ60" s="95">
        <v>27</v>
      </c>
      <c r="AR60" s="95">
        <v>26</v>
      </c>
      <c r="AS60" s="95">
        <v>24</v>
      </c>
      <c r="AT60" s="95">
        <v>22</v>
      </c>
      <c r="AU60" s="95">
        <v>19</v>
      </c>
      <c r="AV60" s="96">
        <v>16</v>
      </c>
    </row>
    <row r="61" spans="31:48" x14ac:dyDescent="0.3">
      <c r="AE61" s="94" t="s">
        <v>181</v>
      </c>
      <c r="AF61" s="95">
        <v>2</v>
      </c>
      <c r="AG61" s="95">
        <v>6</v>
      </c>
      <c r="AH61" s="95">
        <v>17</v>
      </c>
      <c r="AI61" s="95">
        <v>28</v>
      </c>
      <c r="AJ61" s="95">
        <v>38</v>
      </c>
      <c r="AK61" s="95">
        <v>44</v>
      </c>
      <c r="AL61" s="95">
        <v>45</v>
      </c>
      <c r="AM61" s="95">
        <v>43</v>
      </c>
      <c r="AN61" s="95">
        <v>39</v>
      </c>
      <c r="AO61" s="95">
        <v>36</v>
      </c>
      <c r="AP61" s="95">
        <v>34</v>
      </c>
      <c r="AQ61" s="95">
        <v>32</v>
      </c>
      <c r="AR61" s="95">
        <v>30</v>
      </c>
      <c r="AS61" s="95">
        <v>27</v>
      </c>
      <c r="AT61" s="95">
        <v>24</v>
      </c>
      <c r="AU61" s="95">
        <v>21</v>
      </c>
      <c r="AV61" s="96">
        <v>17</v>
      </c>
    </row>
    <row r="62" spans="31:48" x14ac:dyDescent="0.3">
      <c r="AE62" s="94" t="s">
        <v>183</v>
      </c>
      <c r="AF62" s="95">
        <v>2</v>
      </c>
      <c r="AG62" s="95">
        <v>4</v>
      </c>
      <c r="AH62" s="95">
        <v>10</v>
      </c>
      <c r="AI62" s="95">
        <v>19</v>
      </c>
      <c r="AJ62" s="95">
        <v>28</v>
      </c>
      <c r="AK62" s="95">
        <v>36</v>
      </c>
      <c r="AL62" s="95">
        <v>41</v>
      </c>
      <c r="AM62" s="95">
        <v>43</v>
      </c>
      <c r="AN62" s="95">
        <v>42</v>
      </c>
      <c r="AO62" s="95">
        <v>39</v>
      </c>
      <c r="AP62" s="95">
        <v>36</v>
      </c>
      <c r="AQ62" s="95">
        <v>34</v>
      </c>
      <c r="AR62" s="95">
        <v>31</v>
      </c>
      <c r="AS62" s="95">
        <v>28</v>
      </c>
      <c r="AT62" s="95">
        <v>25</v>
      </c>
      <c r="AU62" s="95">
        <v>21</v>
      </c>
      <c r="AV62" s="96">
        <v>18</v>
      </c>
    </row>
    <row r="63" spans="31:48" x14ac:dyDescent="0.3">
      <c r="AE63" s="94" t="s">
        <v>187</v>
      </c>
      <c r="AF63" s="95">
        <v>2</v>
      </c>
      <c r="AG63" s="95">
        <v>1</v>
      </c>
      <c r="AH63" s="95">
        <v>1</v>
      </c>
      <c r="AI63" s="95">
        <v>3</v>
      </c>
      <c r="AJ63" s="95">
        <v>7</v>
      </c>
      <c r="AK63" s="95">
        <v>13</v>
      </c>
      <c r="AL63" s="95">
        <v>20</v>
      </c>
      <c r="AM63" s="95">
        <v>27</v>
      </c>
      <c r="AN63" s="95">
        <v>34</v>
      </c>
      <c r="AO63" s="95">
        <v>38</v>
      </c>
      <c r="AP63" s="95">
        <v>39</v>
      </c>
      <c r="AQ63" s="95">
        <v>38</v>
      </c>
      <c r="AR63" s="95">
        <v>35</v>
      </c>
      <c r="AS63" s="95">
        <v>31</v>
      </c>
      <c r="AT63" s="95">
        <v>26</v>
      </c>
      <c r="AU63" s="95">
        <v>22</v>
      </c>
      <c r="AV63" s="96">
        <v>18</v>
      </c>
    </row>
    <row r="64" spans="31:48" x14ac:dyDescent="0.3">
      <c r="AE64" s="94" t="s">
        <v>184</v>
      </c>
      <c r="AF64" s="95">
        <v>3</v>
      </c>
      <c r="AG64" s="95">
        <v>2</v>
      </c>
      <c r="AH64" s="95">
        <v>2</v>
      </c>
      <c r="AI64" s="95">
        <v>4</v>
      </c>
      <c r="AJ64" s="95">
        <v>5</v>
      </c>
      <c r="AK64" s="95">
        <v>8</v>
      </c>
      <c r="AL64" s="95">
        <v>11</v>
      </c>
      <c r="AM64" s="95">
        <v>17</v>
      </c>
      <c r="AN64" s="95">
        <v>26</v>
      </c>
      <c r="AO64" s="95">
        <v>35</v>
      </c>
      <c r="AP64" s="95">
        <v>44</v>
      </c>
      <c r="AQ64" s="95">
        <v>50</v>
      </c>
      <c r="AR64" s="95">
        <v>53</v>
      </c>
      <c r="AS64" s="95">
        <v>52</v>
      </c>
      <c r="AT64" s="95">
        <v>45</v>
      </c>
      <c r="AU64" s="95">
        <v>37</v>
      </c>
      <c r="AV64" s="96">
        <v>28</v>
      </c>
    </row>
    <row r="65" spans="31:48" x14ac:dyDescent="0.3">
      <c r="AE65" s="94" t="s">
        <v>185</v>
      </c>
      <c r="AF65" s="95">
        <v>4</v>
      </c>
      <c r="AG65" s="95">
        <v>3</v>
      </c>
      <c r="AH65" s="95">
        <v>3</v>
      </c>
      <c r="AI65" s="95">
        <v>4</v>
      </c>
      <c r="AJ65" s="95">
        <v>6</v>
      </c>
      <c r="AK65" s="95">
        <v>8</v>
      </c>
      <c r="AL65" s="95">
        <v>11</v>
      </c>
      <c r="AM65" s="95">
        <v>14</v>
      </c>
      <c r="AN65" s="95">
        <v>20</v>
      </c>
      <c r="AO65" s="95">
        <v>28</v>
      </c>
      <c r="AP65" s="95">
        <v>39</v>
      </c>
      <c r="AQ65" s="95">
        <v>49</v>
      </c>
      <c r="AR65" s="95">
        <v>57</v>
      </c>
      <c r="AS65" s="95">
        <v>60</v>
      </c>
      <c r="AT65" s="95">
        <v>54</v>
      </c>
      <c r="AU65" s="95">
        <v>43</v>
      </c>
      <c r="AV65" s="96">
        <v>34</v>
      </c>
    </row>
    <row r="66" spans="31:48" ht="15" thickBot="1" x14ac:dyDescent="0.35">
      <c r="AE66" s="97" t="s">
        <v>186</v>
      </c>
      <c r="AF66" s="98">
        <v>3</v>
      </c>
      <c r="AG66" s="98">
        <v>2</v>
      </c>
      <c r="AH66" s="98">
        <v>2</v>
      </c>
      <c r="AI66" s="98">
        <v>3</v>
      </c>
      <c r="AJ66" s="98">
        <v>5</v>
      </c>
      <c r="AK66" s="98">
        <v>8</v>
      </c>
      <c r="AL66" s="98">
        <v>10</v>
      </c>
      <c r="AM66" s="98">
        <v>13</v>
      </c>
      <c r="AN66" s="98">
        <v>15</v>
      </c>
      <c r="AO66" s="98">
        <v>21</v>
      </c>
      <c r="AP66" s="98">
        <v>27</v>
      </c>
      <c r="AQ66" s="98">
        <v>35</v>
      </c>
      <c r="AR66" s="98">
        <v>42</v>
      </c>
      <c r="AS66" s="98">
        <v>46</v>
      </c>
      <c r="AT66" s="98">
        <v>43</v>
      </c>
      <c r="AU66" s="98">
        <v>35</v>
      </c>
      <c r="AV66" s="99">
        <v>28</v>
      </c>
    </row>
    <row r="67" spans="31:48" x14ac:dyDescent="0.3">
      <c r="AE67" s="122"/>
      <c r="AF67" s="218" t="s">
        <v>208</v>
      </c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20"/>
    </row>
    <row r="68" spans="31:48" x14ac:dyDescent="0.3">
      <c r="AE68" s="94" t="s">
        <v>77</v>
      </c>
      <c r="AF68" s="95">
        <v>2</v>
      </c>
      <c r="AG68" s="95">
        <v>7</v>
      </c>
      <c r="AH68" s="95">
        <v>8</v>
      </c>
      <c r="AI68" s="95">
        <v>9</v>
      </c>
      <c r="AJ68" s="95">
        <v>12</v>
      </c>
      <c r="AK68" s="95">
        <v>15</v>
      </c>
      <c r="AL68" s="95">
        <v>18</v>
      </c>
      <c r="AM68" s="95">
        <v>21</v>
      </c>
      <c r="AN68" s="95">
        <v>23</v>
      </c>
      <c r="AO68" s="95">
        <v>24</v>
      </c>
      <c r="AP68" s="95">
        <v>24</v>
      </c>
      <c r="AQ68" s="95">
        <v>25</v>
      </c>
      <c r="AR68" s="95">
        <v>26</v>
      </c>
      <c r="AS68" s="95">
        <v>22</v>
      </c>
      <c r="AT68" s="95">
        <v>15</v>
      </c>
      <c r="AU68" s="95">
        <v>11</v>
      </c>
      <c r="AV68" s="96">
        <v>9</v>
      </c>
    </row>
    <row r="69" spans="31:48" x14ac:dyDescent="0.3">
      <c r="AE69" s="94" t="s">
        <v>182</v>
      </c>
      <c r="AF69" s="95">
        <v>9</v>
      </c>
      <c r="AG69" s="95">
        <v>27</v>
      </c>
      <c r="AH69" s="95">
        <v>36</v>
      </c>
      <c r="AI69" s="95">
        <v>39</v>
      </c>
      <c r="AJ69" s="95">
        <v>35</v>
      </c>
      <c r="AK69" s="95">
        <v>30</v>
      </c>
      <c r="AL69" s="95">
        <v>26</v>
      </c>
      <c r="AM69" s="95">
        <v>26</v>
      </c>
      <c r="AN69" s="95">
        <v>27</v>
      </c>
      <c r="AO69" s="95">
        <v>27</v>
      </c>
      <c r="AP69" s="95">
        <v>26</v>
      </c>
      <c r="AQ69" s="95">
        <v>25</v>
      </c>
      <c r="AR69" s="95">
        <v>22</v>
      </c>
      <c r="AS69" s="95">
        <v>18</v>
      </c>
      <c r="AT69" s="95">
        <v>14</v>
      </c>
      <c r="AU69" s="95">
        <v>11</v>
      </c>
      <c r="AV69" s="96">
        <v>9</v>
      </c>
    </row>
    <row r="70" spans="31:48" x14ac:dyDescent="0.3">
      <c r="AE70" s="94" t="s">
        <v>181</v>
      </c>
      <c r="AF70" s="95">
        <v>11</v>
      </c>
      <c r="AG70" s="95">
        <v>31</v>
      </c>
      <c r="AH70" s="95">
        <v>47</v>
      </c>
      <c r="AI70" s="95">
        <v>54</v>
      </c>
      <c r="AJ70" s="95">
        <v>55</v>
      </c>
      <c r="AK70" s="95">
        <v>50</v>
      </c>
      <c r="AL70" s="95">
        <v>40</v>
      </c>
      <c r="AM70" s="95">
        <v>33</v>
      </c>
      <c r="AN70" s="95">
        <v>31</v>
      </c>
      <c r="AO70" s="95">
        <v>30</v>
      </c>
      <c r="AP70" s="95">
        <v>29</v>
      </c>
      <c r="AQ70" s="95">
        <v>27</v>
      </c>
      <c r="AR70" s="95">
        <v>24</v>
      </c>
      <c r="AS70" s="95">
        <v>19</v>
      </c>
      <c r="AT70" s="95">
        <v>15</v>
      </c>
      <c r="AU70" s="95">
        <v>12</v>
      </c>
      <c r="AV70" s="96">
        <v>10</v>
      </c>
    </row>
    <row r="71" spans="31:48" x14ac:dyDescent="0.3">
      <c r="AE71" s="94" t="s">
        <v>183</v>
      </c>
      <c r="AF71" s="95">
        <v>5</v>
      </c>
      <c r="AG71" s="95">
        <v>18</v>
      </c>
      <c r="AH71" s="95">
        <v>32</v>
      </c>
      <c r="AI71" s="95">
        <v>42</v>
      </c>
      <c r="AJ71" s="95">
        <v>49</v>
      </c>
      <c r="AK71" s="95">
        <v>51</v>
      </c>
      <c r="AL71" s="95">
        <v>48</v>
      </c>
      <c r="AM71" s="95">
        <v>42</v>
      </c>
      <c r="AN71" s="95">
        <v>36</v>
      </c>
      <c r="AO71" s="95">
        <v>32</v>
      </c>
      <c r="AP71" s="95">
        <v>30</v>
      </c>
      <c r="AQ71" s="95">
        <v>27</v>
      </c>
      <c r="AR71" s="95">
        <v>24</v>
      </c>
      <c r="AS71" s="95">
        <v>19</v>
      </c>
      <c r="AT71" s="95">
        <v>15</v>
      </c>
      <c r="AU71" s="95">
        <v>12</v>
      </c>
      <c r="AV71" s="96">
        <v>10</v>
      </c>
    </row>
    <row r="72" spans="31:48" x14ac:dyDescent="0.3">
      <c r="AE72" s="94" t="s">
        <v>187</v>
      </c>
      <c r="AF72" s="95">
        <v>0</v>
      </c>
      <c r="AG72" s="95">
        <v>1</v>
      </c>
      <c r="AH72" s="95">
        <v>5</v>
      </c>
      <c r="AI72" s="95">
        <v>12</v>
      </c>
      <c r="AJ72" s="95">
        <v>22</v>
      </c>
      <c r="AK72" s="95">
        <v>31</v>
      </c>
      <c r="AL72" s="95">
        <v>39</v>
      </c>
      <c r="AM72" s="95">
        <v>45</v>
      </c>
      <c r="AN72" s="95">
        <v>46</v>
      </c>
      <c r="AO72" s="95">
        <v>43</v>
      </c>
      <c r="AP72" s="95">
        <v>37</v>
      </c>
      <c r="AQ72" s="95">
        <v>31</v>
      </c>
      <c r="AR72" s="95">
        <v>25</v>
      </c>
      <c r="AS72" s="95">
        <v>20</v>
      </c>
      <c r="AT72" s="95">
        <v>15</v>
      </c>
      <c r="AU72" s="95">
        <v>12</v>
      </c>
      <c r="AV72" s="96">
        <v>10</v>
      </c>
    </row>
    <row r="73" spans="31:48" x14ac:dyDescent="0.3">
      <c r="AE73" s="94" t="s">
        <v>184</v>
      </c>
      <c r="AF73" s="95">
        <v>0</v>
      </c>
      <c r="AG73" s="95">
        <v>2</v>
      </c>
      <c r="AH73" s="95">
        <v>5</v>
      </c>
      <c r="AI73" s="95">
        <v>8</v>
      </c>
      <c r="AJ73" s="95">
        <v>12</v>
      </c>
      <c r="AK73" s="95">
        <v>16</v>
      </c>
      <c r="AL73" s="95">
        <v>26</v>
      </c>
      <c r="AM73" s="95">
        <v>38</v>
      </c>
      <c r="AN73" s="95">
        <v>50</v>
      </c>
      <c r="AO73" s="95">
        <v>59</v>
      </c>
      <c r="AP73" s="95">
        <v>63</v>
      </c>
      <c r="AQ73" s="95">
        <v>61</v>
      </c>
      <c r="AR73" s="95">
        <v>52</v>
      </c>
      <c r="AS73" s="95">
        <v>37</v>
      </c>
      <c r="AT73" s="95">
        <v>24</v>
      </c>
      <c r="AU73" s="95">
        <v>17</v>
      </c>
      <c r="AV73" s="96">
        <v>13</v>
      </c>
    </row>
    <row r="74" spans="31:48" x14ac:dyDescent="0.3">
      <c r="AE74" s="94" t="s">
        <v>185</v>
      </c>
      <c r="AF74" s="95">
        <v>1</v>
      </c>
      <c r="AG74" s="95">
        <v>2</v>
      </c>
      <c r="AH74" s="95">
        <v>5</v>
      </c>
      <c r="AI74" s="95">
        <v>8</v>
      </c>
      <c r="AJ74" s="95">
        <v>11</v>
      </c>
      <c r="AK74" s="95">
        <v>15</v>
      </c>
      <c r="AL74" s="95">
        <v>19</v>
      </c>
      <c r="AM74" s="95">
        <v>27</v>
      </c>
      <c r="AN74" s="95">
        <v>41</v>
      </c>
      <c r="AO74" s="95">
        <v>56</v>
      </c>
      <c r="AP74" s="95">
        <v>67</v>
      </c>
      <c r="AQ74" s="95">
        <v>72</v>
      </c>
      <c r="AR74" s="95">
        <v>67</v>
      </c>
      <c r="AS74" s="95">
        <v>48</v>
      </c>
      <c r="AT74" s="95">
        <v>29</v>
      </c>
      <c r="AU74" s="95">
        <v>20</v>
      </c>
      <c r="AV74" s="96">
        <v>15</v>
      </c>
    </row>
    <row r="75" spans="31:48" ht="15" thickBot="1" x14ac:dyDescent="0.35">
      <c r="AE75" s="97" t="s">
        <v>186</v>
      </c>
      <c r="AF75" s="98">
        <v>0</v>
      </c>
      <c r="AG75" s="98">
        <v>2</v>
      </c>
      <c r="AH75" s="98">
        <v>5</v>
      </c>
      <c r="AI75" s="98">
        <v>8</v>
      </c>
      <c r="AJ75" s="98">
        <v>11</v>
      </c>
      <c r="AK75" s="98">
        <v>15</v>
      </c>
      <c r="AL75" s="98">
        <v>18</v>
      </c>
      <c r="AM75" s="98">
        <v>21</v>
      </c>
      <c r="AN75" s="98">
        <v>27</v>
      </c>
      <c r="AO75" s="98">
        <v>37</v>
      </c>
      <c r="AP75" s="98">
        <v>47</v>
      </c>
      <c r="AQ75" s="98">
        <v>55</v>
      </c>
      <c r="AR75" s="98">
        <v>55</v>
      </c>
      <c r="AS75" s="98">
        <v>41</v>
      </c>
      <c r="AT75" s="98">
        <v>25</v>
      </c>
      <c r="AU75" s="98">
        <v>17</v>
      </c>
      <c r="AV75" s="99">
        <v>13</v>
      </c>
    </row>
  </sheetData>
  <mergeCells count="12">
    <mergeCell ref="AF58:AV58"/>
    <mergeCell ref="AF67:AV67"/>
    <mergeCell ref="AC1:AC9"/>
    <mergeCell ref="G1:G9"/>
    <mergeCell ref="AC12:AC21"/>
    <mergeCell ref="AF13:AV13"/>
    <mergeCell ref="G12:G20"/>
    <mergeCell ref="G23:G31"/>
    <mergeCell ref="AF22:AV22"/>
    <mergeCell ref="AF31:AV31"/>
    <mergeCell ref="AF40:AV40"/>
    <mergeCell ref="AF49:AV4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32937-6B2B-4DA4-A25E-8C8A81004B2A}">
  <sheetPr codeName="Sheet6"/>
  <dimension ref="A1:AN9"/>
  <sheetViews>
    <sheetView workbookViewId="0"/>
  </sheetViews>
  <sheetFormatPr defaultRowHeight="14.4" x14ac:dyDescent="0.3"/>
  <cols>
    <col min="1" max="1" width="15.44140625" style="90" customWidth="1"/>
    <col min="2" max="3" width="8.88671875" style="90"/>
    <col min="4" max="4" width="15.88671875" style="90" customWidth="1"/>
    <col min="5" max="5" width="8.88671875" style="90"/>
    <col min="6" max="6" width="14.77734375" style="90" customWidth="1"/>
    <col min="7" max="24" width="8.88671875" style="90"/>
    <col min="25" max="25" width="8.21875" style="90" customWidth="1"/>
    <col min="26" max="26" width="15" style="90" customWidth="1"/>
    <col min="27" max="27" width="8.77734375" style="90" customWidth="1"/>
    <col min="28" max="28" width="9.88671875" style="90" customWidth="1"/>
    <col min="29" max="16384" width="8.88671875" style="90"/>
  </cols>
  <sheetData>
    <row r="1" spans="1:40" ht="14.4" customHeight="1" x14ac:dyDescent="0.3">
      <c r="A1" s="91" t="s">
        <v>129</v>
      </c>
      <c r="B1" s="107" t="str">
        <f>Cooling_Load_Calculation!D3</f>
        <v>Industrial</v>
      </c>
      <c r="D1" s="212" t="s">
        <v>193</v>
      </c>
      <c r="F1" s="91" t="s">
        <v>194</v>
      </c>
      <c r="G1" s="108">
        <v>6</v>
      </c>
      <c r="H1" s="108">
        <v>7</v>
      </c>
      <c r="I1" s="108">
        <v>8</v>
      </c>
      <c r="J1" s="108">
        <v>9</v>
      </c>
      <c r="K1" s="108">
        <v>10</v>
      </c>
      <c r="L1" s="108">
        <v>11</v>
      </c>
      <c r="M1" s="108">
        <v>12</v>
      </c>
      <c r="N1" s="108">
        <v>13</v>
      </c>
      <c r="O1" s="108">
        <v>14</v>
      </c>
      <c r="P1" s="108">
        <v>15</v>
      </c>
      <c r="Q1" s="108">
        <v>16</v>
      </c>
      <c r="R1" s="108">
        <v>17</v>
      </c>
      <c r="S1" s="108">
        <v>18</v>
      </c>
      <c r="T1" s="108">
        <v>19</v>
      </c>
      <c r="U1" s="108">
        <v>20</v>
      </c>
      <c r="V1" s="108">
        <v>21</v>
      </c>
      <c r="W1" s="109">
        <v>22</v>
      </c>
      <c r="Z1" s="215" t="s">
        <v>195</v>
      </c>
      <c r="AB1" s="91" t="s">
        <v>13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ht="15" thickBot="1" x14ac:dyDescent="0.35">
      <c r="A2" s="94" t="s">
        <v>133</v>
      </c>
      <c r="B2" s="110">
        <f>_xlfn.IFS(B1=Wall!A2,1,B1=Wall!A3,0.5)</f>
        <v>1</v>
      </c>
      <c r="D2" s="214"/>
      <c r="F2" s="111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Z2" s="217"/>
      <c r="AB2" s="97" t="s">
        <v>196</v>
      </c>
      <c r="AC2" s="117">
        <v>-4</v>
      </c>
      <c r="AD2" s="98">
        <v>-1</v>
      </c>
      <c r="AE2" s="98">
        <v>0</v>
      </c>
      <c r="AF2" s="98">
        <v>-1</v>
      </c>
      <c r="AG2" s="98">
        <v>-2</v>
      </c>
      <c r="AH2" s="98">
        <v>-2</v>
      </c>
      <c r="AI2" s="98">
        <v>-2</v>
      </c>
      <c r="AJ2" s="98">
        <v>-1</v>
      </c>
      <c r="AK2" s="98">
        <v>0</v>
      </c>
      <c r="AL2" s="98">
        <v>-1</v>
      </c>
      <c r="AM2" s="98">
        <v>-4</v>
      </c>
      <c r="AN2" s="99">
        <v>-5</v>
      </c>
    </row>
    <row r="3" spans="1:40" ht="15" thickBot="1" x14ac:dyDescent="0.35">
      <c r="A3" s="97" t="s">
        <v>179</v>
      </c>
      <c r="B3" s="106"/>
      <c r="Z3" s="116"/>
      <c r="AB3" s="114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</row>
    <row r="4" spans="1:40" x14ac:dyDescent="0.3">
      <c r="D4" s="212" t="s">
        <v>197</v>
      </c>
      <c r="F4" s="91" t="s">
        <v>34</v>
      </c>
      <c r="G4" s="108">
        <v>6</v>
      </c>
      <c r="H4" s="108">
        <v>7</v>
      </c>
      <c r="I4" s="108">
        <v>8</v>
      </c>
      <c r="J4" s="108">
        <v>9</v>
      </c>
      <c r="K4" s="108">
        <v>10</v>
      </c>
      <c r="L4" s="108">
        <v>11</v>
      </c>
      <c r="M4" s="108">
        <v>12</v>
      </c>
      <c r="N4" s="108">
        <v>13</v>
      </c>
      <c r="O4" s="108">
        <v>14</v>
      </c>
      <c r="P4" s="108">
        <v>15</v>
      </c>
      <c r="Q4" s="108">
        <v>16</v>
      </c>
      <c r="R4" s="108">
        <v>17</v>
      </c>
      <c r="S4" s="108">
        <v>18</v>
      </c>
      <c r="T4" s="108">
        <v>19</v>
      </c>
      <c r="U4" s="108">
        <v>20</v>
      </c>
      <c r="V4" s="108">
        <v>21</v>
      </c>
      <c r="W4" s="109">
        <v>22</v>
      </c>
      <c r="Z4" s="116"/>
      <c r="AB4" s="114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</row>
    <row r="5" spans="1:40" ht="15" thickBot="1" x14ac:dyDescent="0.35">
      <c r="D5" s="214"/>
      <c r="F5" s="111" t="s">
        <v>196</v>
      </c>
      <c r="G5" s="112" t="e">
        <f>_xlfn.IFS($B$3=1,$AC$2,$B$3=2,$AD$2,$B$3=3,$AE$2,$B$3=4,$AF$2,$B$3=5,$AG$2,$B$3=6,$AH$2,$B$3=7,$AI$2,$B$3=8,$AJ$2,$B$3=9,$AK$2,$B$3=10,$AL$2,$B$3=11,$AM$2,$B$3=12,$AN$2)</f>
        <v>#N/A</v>
      </c>
      <c r="H5" s="112" t="e">
        <f t="shared" ref="H5:W5" si="0">_xlfn.IFS($B$3=1,$AC$2,$B$3=2,$AD$2,$B$3=3,$AE$2,$B$3=4,$AF$2,$B$3=5,$AG$2,$B$3=6,$AH$2,$B$3=7,$AI$2,$B$3=8,$AJ$2,$B$3=9,$AK$2,$B$3=10,$AL$2,$B$3=11,$AM$2,$B$3=12,$AN$2)</f>
        <v>#N/A</v>
      </c>
      <c r="I5" s="112" t="e">
        <f t="shared" si="0"/>
        <v>#N/A</v>
      </c>
      <c r="J5" s="112" t="e">
        <f t="shared" si="0"/>
        <v>#N/A</v>
      </c>
      <c r="K5" s="112" t="e">
        <f t="shared" si="0"/>
        <v>#N/A</v>
      </c>
      <c r="L5" s="112" t="e">
        <f t="shared" si="0"/>
        <v>#N/A</v>
      </c>
      <c r="M5" s="112" t="e">
        <f t="shared" si="0"/>
        <v>#N/A</v>
      </c>
      <c r="N5" s="112" t="e">
        <f t="shared" si="0"/>
        <v>#N/A</v>
      </c>
      <c r="O5" s="112" t="e">
        <f t="shared" si="0"/>
        <v>#N/A</v>
      </c>
      <c r="P5" s="112" t="e">
        <f t="shared" si="0"/>
        <v>#N/A</v>
      </c>
      <c r="Q5" s="112" t="e">
        <f t="shared" si="0"/>
        <v>#N/A</v>
      </c>
      <c r="R5" s="112" t="e">
        <f t="shared" si="0"/>
        <v>#N/A</v>
      </c>
      <c r="S5" s="112" t="e">
        <f t="shared" si="0"/>
        <v>#N/A</v>
      </c>
      <c r="T5" s="112" t="e">
        <f t="shared" si="0"/>
        <v>#N/A</v>
      </c>
      <c r="U5" s="112" t="e">
        <f t="shared" si="0"/>
        <v>#N/A</v>
      </c>
      <c r="V5" s="112" t="e">
        <f t="shared" si="0"/>
        <v>#N/A</v>
      </c>
      <c r="W5" s="113" t="e">
        <f t="shared" si="0"/>
        <v>#N/A</v>
      </c>
      <c r="Z5" s="116"/>
      <c r="AB5" s="114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</row>
    <row r="6" spans="1:40" ht="15" thickBot="1" x14ac:dyDescent="0.35">
      <c r="Z6" s="116"/>
      <c r="AB6" s="114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</row>
    <row r="7" spans="1:40" x14ac:dyDescent="0.3">
      <c r="D7" s="212" t="s">
        <v>198</v>
      </c>
      <c r="F7" s="91" t="s">
        <v>194</v>
      </c>
      <c r="G7" s="108">
        <v>6</v>
      </c>
      <c r="H7" s="108">
        <v>7</v>
      </c>
      <c r="I7" s="108">
        <v>8</v>
      </c>
      <c r="J7" s="108">
        <v>9</v>
      </c>
      <c r="K7" s="108">
        <v>10</v>
      </c>
      <c r="L7" s="108">
        <v>11</v>
      </c>
      <c r="M7" s="108">
        <v>12</v>
      </c>
      <c r="N7" s="108">
        <v>13</v>
      </c>
      <c r="O7" s="108">
        <v>14</v>
      </c>
      <c r="P7" s="108">
        <v>15</v>
      </c>
      <c r="Q7" s="108">
        <v>16</v>
      </c>
      <c r="R7" s="108">
        <v>17</v>
      </c>
      <c r="S7" s="108">
        <v>18</v>
      </c>
      <c r="T7" s="108">
        <v>19</v>
      </c>
      <c r="U7" s="108">
        <v>20</v>
      </c>
      <c r="V7" s="108">
        <v>21</v>
      </c>
      <c r="W7" s="109">
        <v>22</v>
      </c>
      <c r="Z7" s="116"/>
      <c r="AB7" s="114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</row>
    <row r="8" spans="1:40" ht="15" thickBot="1" x14ac:dyDescent="0.35">
      <c r="D8" s="214"/>
      <c r="F8" s="111">
        <f>F2</f>
        <v>0</v>
      </c>
      <c r="G8" s="112" t="e">
        <f>(G2+G5)*$B$2+(78-((Cooling_Load_Calculation!$D$4*9/5)+32))+(((Cooling_Load_Calculation!G25*9/5)+32)-85)</f>
        <v>#N/A</v>
      </c>
      <c r="H8" s="112" t="e">
        <f>(H2+H5)*$B$2+(78-((Cooling_Load_Calculation!$D$4*9/5)+32))+(((Cooling_Load_Calculation!H25*9/5)+32)-85)</f>
        <v>#N/A</v>
      </c>
      <c r="I8" s="112" t="e">
        <f>(I2+I5)*$B$2+(78-((Cooling_Load_Calculation!$D$4*9/5)+32))+(((Cooling_Load_Calculation!I25*9/5)+32)-85)</f>
        <v>#N/A</v>
      </c>
      <c r="J8" s="112" t="e">
        <f>(J2+J5)*$B$2+(78-((Cooling_Load_Calculation!$D$4*9/5)+32))+(((Cooling_Load_Calculation!J25*9/5)+32)-85)</f>
        <v>#N/A</v>
      </c>
      <c r="K8" s="112" t="e">
        <f>(K2+K5)*$B$2+(78-((Cooling_Load_Calculation!$D$4*9/5)+32))+(((Cooling_Load_Calculation!K25*9/5)+32)-85)</f>
        <v>#N/A</v>
      </c>
      <c r="L8" s="112" t="e">
        <f>(L2+L5)*$B$2+(78-((Cooling_Load_Calculation!$D$4*9/5)+32))+(((Cooling_Load_Calculation!L25*9/5)+32)-85)</f>
        <v>#N/A</v>
      </c>
      <c r="M8" s="112" t="e">
        <f>(M2+M5)*$B$2+(78-((Cooling_Load_Calculation!$D$4*9/5)+32))+(((Cooling_Load_Calculation!M25*9/5)+32)-85)</f>
        <v>#N/A</v>
      </c>
      <c r="N8" s="112" t="e">
        <f>(N2+N5)*$B$2+(78-((Cooling_Load_Calculation!$D$4*9/5)+32))+(((Cooling_Load_Calculation!N25*9/5)+32)-85)</f>
        <v>#N/A</v>
      </c>
      <c r="O8" s="112" t="e">
        <f>(O2+O5)*$B$2+(78-((Cooling_Load_Calculation!$D$4*9/5)+32))+(((Cooling_Load_Calculation!O25*9/5)+32)-85)</f>
        <v>#N/A</v>
      </c>
      <c r="P8" s="112" t="e">
        <f>(P2+P5)*$B$2+(78-((Cooling_Load_Calculation!$D$4*9/5)+32))+(((Cooling_Load_Calculation!P25*9/5)+32)-85)</f>
        <v>#N/A</v>
      </c>
      <c r="Q8" s="112" t="e">
        <f>(Q2+Q5)*$B$2+(78-((Cooling_Load_Calculation!$D$4*9/5)+32))+(((Cooling_Load_Calculation!Q25*9/5)+32)-85)</f>
        <v>#N/A</v>
      </c>
      <c r="R8" s="112" t="e">
        <f>(R2+R5)*$B$2+(78-((Cooling_Load_Calculation!$D$4*9/5)+32))+(((Cooling_Load_Calculation!R25*9/5)+32)-85)</f>
        <v>#N/A</v>
      </c>
      <c r="S8" s="112" t="e">
        <f>(S2+S5)*$B$2+(78-((Cooling_Load_Calculation!$D$4*9/5)+32))+(((Cooling_Load_Calculation!S25*9/5)+32)-85)</f>
        <v>#N/A</v>
      </c>
      <c r="T8" s="112" t="e">
        <f>(T2+T5)*$B$2+(78-((Cooling_Load_Calculation!$D$4*9/5)+32))+(((Cooling_Load_Calculation!T25*9/5)+32)-85)</f>
        <v>#N/A</v>
      </c>
      <c r="U8" s="112" t="e">
        <f>(U2+U5)*$B$2+(78-((Cooling_Load_Calculation!$D$4*9/5)+32))+(((Cooling_Load_Calculation!U25*9/5)+32)-85)</f>
        <v>#N/A</v>
      </c>
      <c r="V8" s="112" t="e">
        <f>(V2+V5)*$B$2+(78-((Cooling_Load_Calculation!$D$4*9/5)+32))+(((Cooling_Load_Calculation!V25*9/5)+32)-85)</f>
        <v>#N/A</v>
      </c>
      <c r="W8" s="113" t="e">
        <f>(W2+W5)*$B$2+(78-((Cooling_Load_Calculation!$D$4*9/5)+32))+(((Cooling_Load_Calculation!W25*9/5)+32)-85)</f>
        <v>#N/A</v>
      </c>
      <c r="Z8" s="116"/>
      <c r="AB8" s="114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</row>
    <row r="9" spans="1:40" x14ac:dyDescent="0.3">
      <c r="Z9" s="116"/>
      <c r="AB9" s="114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</row>
  </sheetData>
  <mergeCells count="4">
    <mergeCell ref="Z1:Z2"/>
    <mergeCell ref="D1:D2"/>
    <mergeCell ref="D4:D5"/>
    <mergeCell ref="D7:D8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00BC-47D5-447D-9BD7-4897337257FD}">
  <sheetPr codeName="Sheet7"/>
  <dimension ref="A1:Q28"/>
  <sheetViews>
    <sheetView workbookViewId="0">
      <selection sqref="A1:E1"/>
    </sheetView>
  </sheetViews>
  <sheetFormatPr defaultColWidth="17.5546875" defaultRowHeight="14.4" x14ac:dyDescent="0.3"/>
  <cols>
    <col min="1" max="1" width="6.109375" customWidth="1"/>
    <col min="2" max="5" width="13.88671875" customWidth="1"/>
    <col min="6" max="6" width="15.77734375" bestFit="1" customWidth="1"/>
    <col min="7" max="7" width="12.88671875" customWidth="1"/>
    <col min="8" max="8" width="13.109375" customWidth="1"/>
    <col min="9" max="9" width="12.109375" customWidth="1"/>
    <col min="10" max="10" width="11.33203125" customWidth="1"/>
    <col min="11" max="12" width="16.33203125" customWidth="1"/>
    <col min="13" max="13" width="17" bestFit="1" customWidth="1"/>
    <col min="14" max="14" width="6" customWidth="1"/>
    <col min="15" max="15" width="12.6640625" customWidth="1"/>
    <col min="16" max="16" width="12.88671875" customWidth="1"/>
  </cols>
  <sheetData>
    <row r="1" spans="1:16" x14ac:dyDescent="0.3">
      <c r="A1" s="234" t="s">
        <v>247</v>
      </c>
      <c r="B1" s="235"/>
      <c r="C1" s="235"/>
      <c r="D1" s="235"/>
      <c r="E1" s="236"/>
      <c r="F1" s="140"/>
      <c r="G1" s="237" t="s">
        <v>232</v>
      </c>
      <c r="H1" s="237" t="s">
        <v>233</v>
      </c>
      <c r="I1" s="237" t="s">
        <v>234</v>
      </c>
      <c r="J1" s="237" t="s">
        <v>235</v>
      </c>
      <c r="K1" s="237" t="s">
        <v>236</v>
      </c>
      <c r="L1" s="237" t="s">
        <v>237</v>
      </c>
      <c r="N1" s="238" t="s">
        <v>238</v>
      </c>
      <c r="O1" s="224" t="s">
        <v>239</v>
      </c>
      <c r="P1" s="226" t="s">
        <v>242</v>
      </c>
    </row>
    <row r="2" spans="1:16" x14ac:dyDescent="0.3">
      <c r="A2" s="141" t="s">
        <v>238</v>
      </c>
      <c r="B2" s="142" t="s">
        <v>239</v>
      </c>
      <c r="C2" s="144" t="s">
        <v>244</v>
      </c>
      <c r="D2" s="144" t="s">
        <v>245</v>
      </c>
      <c r="E2" s="144" t="s">
        <v>246</v>
      </c>
      <c r="F2" s="139"/>
      <c r="G2" s="225"/>
      <c r="H2" s="225"/>
      <c r="I2" s="225"/>
      <c r="J2" s="225"/>
      <c r="K2" s="225"/>
      <c r="L2" s="225"/>
      <c r="N2" s="239"/>
      <c r="O2" s="225"/>
      <c r="P2" s="227"/>
    </row>
    <row r="3" spans="1:16" x14ac:dyDescent="0.3">
      <c r="A3" s="143">
        <v>1</v>
      </c>
      <c r="B3" s="144" t="s">
        <v>244</v>
      </c>
      <c r="C3" s="145">
        <v>1</v>
      </c>
      <c r="D3" s="161">
        <v>0.2</v>
      </c>
      <c r="E3" s="146">
        <v>3</v>
      </c>
      <c r="F3" s="145"/>
      <c r="G3" s="147">
        <f t="shared" ref="G3:G5" si="0">PRODUCT(C3:E3)^(1/3)</f>
        <v>0.84343266530174932</v>
      </c>
      <c r="H3" s="147">
        <f t="shared" ref="H3:H5" si="1">G3/$G$6</f>
        <v>0.18839765800739819</v>
      </c>
      <c r="I3" s="147">
        <f t="array" ref="I3:I5">MMULT(C3:E5,H3:H5)</f>
        <v>0.57736093064103255</v>
      </c>
      <c r="J3" s="147">
        <f t="shared" ref="J3:J5" si="2">I3/H3</f>
        <v>3.064586559873054</v>
      </c>
      <c r="K3" s="147">
        <f>(J6-3)/2</f>
        <v>3.2378979233386396E-2</v>
      </c>
      <c r="L3" s="147">
        <f>ROUND(K3/0.52,4)</f>
        <v>6.2300000000000001E-2</v>
      </c>
      <c r="N3" s="158">
        <v>1</v>
      </c>
      <c r="O3" s="144" t="s">
        <v>244</v>
      </c>
      <c r="P3" s="159">
        <f>ROUND(H3,4)</f>
        <v>0.18840000000000001</v>
      </c>
    </row>
    <row r="4" spans="1:16" x14ac:dyDescent="0.3">
      <c r="A4" s="143">
        <v>2</v>
      </c>
      <c r="B4" s="144" t="s">
        <v>245</v>
      </c>
      <c r="C4" s="145">
        <v>5</v>
      </c>
      <c r="D4" s="145">
        <v>1</v>
      </c>
      <c r="E4" s="146">
        <v>7</v>
      </c>
      <c r="F4" s="145"/>
      <c r="G4" s="147">
        <f t="shared" si="0"/>
        <v>3.2710663101885888</v>
      </c>
      <c r="H4" s="147">
        <f t="shared" si="1"/>
        <v>0.73065848333720385</v>
      </c>
      <c r="I4" s="147">
        <v>2.2392537839619799</v>
      </c>
      <c r="J4" s="147">
        <f t="shared" si="2"/>
        <v>3.0647064737200198</v>
      </c>
      <c r="L4" s="148" t="str">
        <f>IFERROR((_xlfn.IFS(L3&lt;0.1,"Acceptable",L3&gt;=0.1,"Unacceptable")),"NOT VALID")</f>
        <v>Acceptable</v>
      </c>
      <c r="N4" s="158">
        <v>2</v>
      </c>
      <c r="O4" s="144" t="s">
        <v>245</v>
      </c>
      <c r="P4" s="159">
        <f t="shared" ref="P4:P5" si="3">ROUND(H4,4)</f>
        <v>0.73070000000000002</v>
      </c>
    </row>
    <row r="5" spans="1:16" x14ac:dyDescent="0.3">
      <c r="A5" s="143">
        <v>3</v>
      </c>
      <c r="B5" s="144" t="s">
        <v>246</v>
      </c>
      <c r="C5" s="149">
        <v>0.33300000000000002</v>
      </c>
      <c r="D5" s="149">
        <v>0.1429</v>
      </c>
      <c r="E5" s="150">
        <v>1</v>
      </c>
      <c r="F5" s="145"/>
      <c r="G5" s="147">
        <f t="shared" si="0"/>
        <v>0.36237549430072735</v>
      </c>
      <c r="H5" s="147">
        <f t="shared" si="1"/>
        <v>8.0943858655397868E-2</v>
      </c>
      <c r="I5" s="147">
        <v>0.24809137604074794</v>
      </c>
      <c r="J5" s="147">
        <f t="shared" si="2"/>
        <v>3.0649808418072442</v>
      </c>
      <c r="N5" s="158">
        <v>3</v>
      </c>
      <c r="O5" s="144" t="s">
        <v>246</v>
      </c>
      <c r="P5" s="159">
        <f t="shared" si="3"/>
        <v>8.09E-2</v>
      </c>
    </row>
    <row r="6" spans="1:16" ht="15" thickBot="1" x14ac:dyDescent="0.35">
      <c r="A6" s="151"/>
      <c r="G6" s="152">
        <f t="shared" ref="G6:H6" si="4">SUM(G3:G5)</f>
        <v>4.4768744697910661</v>
      </c>
      <c r="H6" s="152">
        <f t="shared" si="4"/>
        <v>0.99999999999999989</v>
      </c>
      <c r="I6" s="153"/>
      <c r="J6" s="152">
        <f>AVERAGE(J3:J5)</f>
        <v>3.0647579584667728</v>
      </c>
      <c r="N6" s="228" t="s">
        <v>243</v>
      </c>
      <c r="O6" s="229"/>
      <c r="P6" s="160">
        <f>ROUND(SUM(P3:P5),3)</f>
        <v>1</v>
      </c>
    </row>
    <row r="7" spans="1:16" x14ac:dyDescent="0.3">
      <c r="A7" s="230" t="s">
        <v>237</v>
      </c>
      <c r="B7" s="231"/>
      <c r="C7" s="232" t="str">
        <f>L4</f>
        <v>Acceptable</v>
      </c>
      <c r="D7" s="233"/>
      <c r="E7" s="231"/>
      <c r="G7" s="154" t="s">
        <v>240</v>
      </c>
      <c r="H7" s="155" t="s">
        <v>240</v>
      </c>
      <c r="I7" s="156"/>
      <c r="J7" s="157" t="s">
        <v>241</v>
      </c>
    </row>
    <row r="9" spans="1:16" x14ac:dyDescent="0.3">
      <c r="A9" s="185"/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</row>
    <row r="10" spans="1:16" ht="15" thickBot="1" x14ac:dyDescent="0.35"/>
    <row r="11" spans="1:16" x14ac:dyDescent="0.3">
      <c r="A11" s="234" t="s">
        <v>248</v>
      </c>
      <c r="B11" s="235"/>
      <c r="C11" s="235"/>
      <c r="D11" s="235"/>
      <c r="E11" s="236"/>
      <c r="F11" s="140"/>
      <c r="G11" s="237" t="s">
        <v>232</v>
      </c>
      <c r="H11" s="237" t="s">
        <v>233</v>
      </c>
      <c r="I11" s="237" t="s">
        <v>234</v>
      </c>
      <c r="J11" s="237" t="s">
        <v>235</v>
      </c>
      <c r="K11" s="237" t="s">
        <v>236</v>
      </c>
      <c r="L11" s="237" t="s">
        <v>237</v>
      </c>
      <c r="N11" s="238" t="s">
        <v>238</v>
      </c>
      <c r="O11" s="224" t="s">
        <v>239</v>
      </c>
      <c r="P11" s="226" t="s">
        <v>242</v>
      </c>
    </row>
    <row r="12" spans="1:16" x14ac:dyDescent="0.3">
      <c r="A12" s="141" t="s">
        <v>238</v>
      </c>
      <c r="B12" s="142" t="s">
        <v>239</v>
      </c>
      <c r="C12" s="144" t="s">
        <v>244</v>
      </c>
      <c r="D12" s="144" t="s">
        <v>245</v>
      </c>
      <c r="E12" s="144" t="s">
        <v>246</v>
      </c>
      <c r="F12" s="139"/>
      <c r="G12" s="225"/>
      <c r="H12" s="225"/>
      <c r="I12" s="225"/>
      <c r="J12" s="225"/>
      <c r="K12" s="225"/>
      <c r="L12" s="225"/>
      <c r="N12" s="239"/>
      <c r="O12" s="225"/>
      <c r="P12" s="227"/>
    </row>
    <row r="13" spans="1:16" x14ac:dyDescent="0.3">
      <c r="A13" s="143">
        <v>1</v>
      </c>
      <c r="B13" s="144" t="s">
        <v>244</v>
      </c>
      <c r="C13" s="145">
        <v>1</v>
      </c>
      <c r="D13" s="145">
        <v>3</v>
      </c>
      <c r="E13" s="146">
        <v>2</v>
      </c>
      <c r="F13" s="145"/>
      <c r="G13" s="147">
        <f t="shared" ref="G13:G15" si="5">PRODUCT(C13:E13)^(1/3)</f>
        <v>1.8171205928321397</v>
      </c>
      <c r="H13" s="147">
        <f>G13/$G$16</f>
        <v>0.5396439569715068</v>
      </c>
      <c r="I13" s="147">
        <f t="array" ref="I13:I15">MMULT(C13:E15,H13:H15)</f>
        <v>1.6237345716860636</v>
      </c>
      <c r="J13" s="147">
        <f t="shared" ref="J13:J15" si="6">I13/H13</f>
        <v>3.0088997582748744</v>
      </c>
      <c r="K13" s="147">
        <f>(J16-3)/2</f>
        <v>4.4178920115254261E-3</v>
      </c>
      <c r="L13" s="147">
        <f>ROUND(K13/0.52,4)</f>
        <v>8.5000000000000006E-3</v>
      </c>
      <c r="N13" s="158">
        <v>1</v>
      </c>
      <c r="O13" s="144" t="s">
        <v>244</v>
      </c>
      <c r="P13" s="159">
        <f>ROUND(H13,4)</f>
        <v>0.53959999999999997</v>
      </c>
    </row>
    <row r="14" spans="1:16" x14ac:dyDescent="0.3">
      <c r="A14" s="143">
        <v>2</v>
      </c>
      <c r="B14" s="144" t="s">
        <v>245</v>
      </c>
      <c r="C14" s="145">
        <v>0.33300000000000002</v>
      </c>
      <c r="D14" s="145">
        <v>1</v>
      </c>
      <c r="E14" s="146">
        <v>0.5</v>
      </c>
      <c r="F14" s="145"/>
      <c r="G14" s="147">
        <f t="shared" si="5"/>
        <v>0.55013770656559413</v>
      </c>
      <c r="H14" s="147">
        <f>G14/$G$16</f>
        <v>0.16337852865757033</v>
      </c>
      <c r="I14" s="147">
        <v>0.49156872351454362</v>
      </c>
      <c r="J14" s="147">
        <f t="shared" si="6"/>
        <v>3.0087718842470199</v>
      </c>
      <c r="L14" s="148" t="str">
        <f>IFERROR((_xlfn.IFS(L13&lt;0.1,"Acceptable",L13&gt;=0.1,"Unacceptable")),"NOT VALID")</f>
        <v>Acceptable</v>
      </c>
      <c r="N14" s="158">
        <v>2</v>
      </c>
      <c r="O14" s="144" t="s">
        <v>245</v>
      </c>
      <c r="P14" s="159">
        <f t="shared" ref="P14:P15" si="7">ROUND(H14,4)</f>
        <v>0.16339999999999999</v>
      </c>
    </row>
    <row r="15" spans="1:16" x14ac:dyDescent="0.3">
      <c r="A15" s="143">
        <v>3</v>
      </c>
      <c r="B15" s="144" t="s">
        <v>246</v>
      </c>
      <c r="C15" s="149">
        <v>0.5</v>
      </c>
      <c r="D15" s="149">
        <v>2</v>
      </c>
      <c r="E15" s="150">
        <v>1</v>
      </c>
      <c r="F15" s="145"/>
      <c r="G15" s="147">
        <f t="shared" si="5"/>
        <v>1</v>
      </c>
      <c r="H15" s="147">
        <f>G15/$G$16</f>
        <v>0.29697751437092296</v>
      </c>
      <c r="I15" s="147">
        <v>0.89355655017181701</v>
      </c>
      <c r="J15" s="147">
        <f t="shared" si="6"/>
        <v>3.0088357095472582</v>
      </c>
      <c r="N15" s="158">
        <v>3</v>
      </c>
      <c r="O15" s="144" t="s">
        <v>246</v>
      </c>
      <c r="P15" s="159">
        <f t="shared" si="7"/>
        <v>0.29699999999999999</v>
      </c>
    </row>
    <row r="16" spans="1:16" ht="15" thickBot="1" x14ac:dyDescent="0.35">
      <c r="A16" s="151"/>
      <c r="G16" s="152">
        <f t="shared" ref="G16:H16" si="8">SUM(G13:G15)</f>
        <v>3.3672582993977338</v>
      </c>
      <c r="H16" s="152">
        <f t="shared" si="8"/>
        <v>1</v>
      </c>
      <c r="I16" s="153"/>
      <c r="J16" s="152">
        <f>AVERAGE(J13:J15)</f>
        <v>3.0088357840230509</v>
      </c>
      <c r="N16" s="228" t="s">
        <v>243</v>
      </c>
      <c r="O16" s="229"/>
      <c r="P16" s="160">
        <f>ROUND(SUM(P13:P15),3)</f>
        <v>1</v>
      </c>
    </row>
    <row r="17" spans="1:17" x14ac:dyDescent="0.3">
      <c r="A17" s="230" t="s">
        <v>237</v>
      </c>
      <c r="B17" s="231"/>
      <c r="C17" s="232" t="str">
        <f>L14</f>
        <v>Acceptable</v>
      </c>
      <c r="D17" s="233"/>
      <c r="E17" s="231"/>
      <c r="G17" s="154" t="s">
        <v>240</v>
      </c>
      <c r="H17" s="155" t="s">
        <v>240</v>
      </c>
      <c r="I17" s="156"/>
      <c r="J17" s="157" t="s">
        <v>241</v>
      </c>
    </row>
    <row r="19" spans="1:17" x14ac:dyDescent="0.3">
      <c r="A19" s="185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</row>
    <row r="20" spans="1:17" ht="15" thickBot="1" x14ac:dyDescent="0.35"/>
    <row r="21" spans="1:17" x14ac:dyDescent="0.3">
      <c r="A21" s="246" t="s">
        <v>253</v>
      </c>
      <c r="B21" s="247"/>
      <c r="C21" s="247"/>
      <c r="D21" s="247"/>
      <c r="E21" s="247"/>
      <c r="F21" s="248"/>
      <c r="G21" s="162"/>
      <c r="H21" s="249" t="s">
        <v>232</v>
      </c>
      <c r="I21" s="249" t="s">
        <v>233</v>
      </c>
      <c r="J21" s="249" t="s">
        <v>234</v>
      </c>
      <c r="K21" s="249" t="s">
        <v>235</v>
      </c>
      <c r="L21" s="249" t="s">
        <v>236</v>
      </c>
      <c r="M21" s="249" t="s">
        <v>237</v>
      </c>
      <c r="O21" s="244" t="s">
        <v>238</v>
      </c>
      <c r="P21" s="251" t="s">
        <v>239</v>
      </c>
      <c r="Q21" s="252" t="s">
        <v>242</v>
      </c>
    </row>
    <row r="22" spans="1:17" x14ac:dyDescent="0.3">
      <c r="A22" s="163" t="s">
        <v>238</v>
      </c>
      <c r="B22" s="164" t="s">
        <v>239</v>
      </c>
      <c r="C22" s="167" t="s">
        <v>249</v>
      </c>
      <c r="D22" s="167" t="s">
        <v>250</v>
      </c>
      <c r="E22" s="167" t="s">
        <v>251</v>
      </c>
      <c r="F22" s="167" t="s">
        <v>252</v>
      </c>
      <c r="G22" s="165"/>
      <c r="H22" s="250"/>
      <c r="I22" s="250"/>
      <c r="J22" s="250"/>
      <c r="K22" s="250"/>
      <c r="L22" s="250"/>
      <c r="M22" s="250"/>
      <c r="O22" s="245"/>
      <c r="P22" s="250"/>
      <c r="Q22" s="253"/>
    </row>
    <row r="23" spans="1:17" x14ac:dyDescent="0.3">
      <c r="A23" s="166">
        <v>1</v>
      </c>
      <c r="B23" s="167" t="s">
        <v>249</v>
      </c>
      <c r="C23" s="168">
        <v>1</v>
      </c>
      <c r="D23" s="168">
        <v>5</v>
      </c>
      <c r="E23" s="168">
        <v>7</v>
      </c>
      <c r="F23" s="169">
        <v>3</v>
      </c>
      <c r="G23" s="168"/>
      <c r="H23" s="170">
        <f t="shared" ref="H23:H26" si="9">PRODUCT(C23:F23)^(1/4)</f>
        <v>3.2010858729436791</v>
      </c>
      <c r="I23" s="170">
        <f>H23/$H$27</f>
        <v>0.56710929185052961</v>
      </c>
      <c r="J23" s="170">
        <f t="array" ref="J23:J26">MMULT(C23:F26,I23:I26)</f>
        <v>2.3243648030241824</v>
      </c>
      <c r="K23" s="170">
        <f t="shared" ref="K23:K26" si="10">J23/I23</f>
        <v>4.098618796104657</v>
      </c>
      <c r="L23" s="170">
        <f>(K27-4)/3</f>
        <v>2.2075508827404278E-2</v>
      </c>
      <c r="M23" s="170">
        <f>ROUND(L23/0.89,4)</f>
        <v>2.4799999999999999E-2</v>
      </c>
      <c r="O23" s="181">
        <v>1</v>
      </c>
      <c r="P23" s="167" t="s">
        <v>249</v>
      </c>
      <c r="Q23" s="182">
        <f>ROUND(I23,4)</f>
        <v>0.56710000000000005</v>
      </c>
    </row>
    <row r="24" spans="1:17" ht="16.2" x14ac:dyDescent="0.45">
      <c r="A24" s="166">
        <v>2</v>
      </c>
      <c r="B24" s="167" t="s">
        <v>250</v>
      </c>
      <c r="C24" s="168">
        <v>0.2</v>
      </c>
      <c r="D24" s="168">
        <v>1</v>
      </c>
      <c r="E24" s="168">
        <v>2</v>
      </c>
      <c r="F24" s="169">
        <v>0.33</v>
      </c>
      <c r="G24" s="168"/>
      <c r="H24" s="170">
        <f t="shared" si="9"/>
        <v>0.602758693418601</v>
      </c>
      <c r="I24" s="170">
        <f t="shared" ref="I24:I26" si="11">H24/$H$27</f>
        <v>0.10678565628951109</v>
      </c>
      <c r="J24" s="170">
        <v>0.43011472272945023</v>
      </c>
      <c r="K24" s="170">
        <f t="shared" si="10"/>
        <v>4.0278323669552405</v>
      </c>
      <c r="M24" s="171" t="str">
        <f>IFERROR((_xlfn.IFS(M23&lt;0.1,"Acceptable",M23&gt;=0.1,"Unacceptable")),"NOT VALID")</f>
        <v>Acceptable</v>
      </c>
      <c r="O24" s="181">
        <v>2</v>
      </c>
      <c r="P24" s="167" t="s">
        <v>250</v>
      </c>
      <c r="Q24" s="182">
        <f t="shared" ref="Q24:Q26" si="12">ROUND(I24,4)</f>
        <v>0.10680000000000001</v>
      </c>
    </row>
    <row r="25" spans="1:17" x14ac:dyDescent="0.3">
      <c r="A25" s="166">
        <v>3</v>
      </c>
      <c r="B25" s="167" t="s">
        <v>251</v>
      </c>
      <c r="C25" s="168">
        <v>0.1429</v>
      </c>
      <c r="D25" s="168">
        <v>0.5</v>
      </c>
      <c r="E25" s="168">
        <v>1</v>
      </c>
      <c r="F25" s="169">
        <v>0.2</v>
      </c>
      <c r="G25" s="168"/>
      <c r="H25" s="170">
        <f t="shared" si="9"/>
        <v>0.34574671078428043</v>
      </c>
      <c r="I25" s="170">
        <f t="shared" si="11"/>
        <v>6.1253018536554883E-2</v>
      </c>
      <c r="J25" s="170">
        <v>0.24865617115143199</v>
      </c>
      <c r="K25" s="170">
        <f t="shared" si="10"/>
        <v>4.0594925293851061</v>
      </c>
      <c r="O25" s="181">
        <v>3</v>
      </c>
      <c r="P25" s="167" t="s">
        <v>251</v>
      </c>
      <c r="Q25" s="182">
        <f t="shared" si="12"/>
        <v>6.13E-2</v>
      </c>
    </row>
    <row r="26" spans="1:17" x14ac:dyDescent="0.3">
      <c r="A26" s="166">
        <v>4</v>
      </c>
      <c r="B26" s="167" t="s">
        <v>252</v>
      </c>
      <c r="C26" s="172">
        <v>0.33300000000000002</v>
      </c>
      <c r="D26" s="172">
        <v>3</v>
      </c>
      <c r="E26" s="172">
        <v>5</v>
      </c>
      <c r="F26" s="173">
        <v>1</v>
      </c>
      <c r="G26" s="168"/>
      <c r="H26" s="170">
        <f t="shared" si="9"/>
        <v>1.4949748037551338</v>
      </c>
      <c r="I26" s="170">
        <f t="shared" si="11"/>
        <v>0.2648520333234044</v>
      </c>
      <c r="J26" s="170">
        <v>1.0803214890609383</v>
      </c>
      <c r="K26" s="170">
        <f t="shared" si="10"/>
        <v>4.0789624134838487</v>
      </c>
      <c r="O26" s="181">
        <v>4</v>
      </c>
      <c r="P26" s="167" t="s">
        <v>252</v>
      </c>
      <c r="Q26" s="182">
        <f t="shared" si="12"/>
        <v>0.26490000000000002</v>
      </c>
    </row>
    <row r="27" spans="1:17" ht="15" thickBot="1" x14ac:dyDescent="0.35">
      <c r="A27" s="174"/>
      <c r="H27" s="175">
        <f t="shared" ref="H27:I27" si="13">SUM(H23:H26)</f>
        <v>5.6445660809016944</v>
      </c>
      <c r="I27" s="175">
        <f t="shared" si="13"/>
        <v>1</v>
      </c>
      <c r="J27" s="176"/>
      <c r="K27" s="175">
        <f>AVERAGE(K23:K26)</f>
        <v>4.0662265264822128</v>
      </c>
      <c r="O27" s="254" t="s">
        <v>243</v>
      </c>
      <c r="P27" s="229"/>
      <c r="Q27" s="183">
        <f>ROUND(SUM(Q23:Q26),3)</f>
        <v>1</v>
      </c>
    </row>
    <row r="28" spans="1:17" x14ac:dyDescent="0.3">
      <c r="A28" s="240" t="s">
        <v>237</v>
      </c>
      <c r="B28" s="241"/>
      <c r="C28" s="242" t="str">
        <f>M24</f>
        <v>Acceptable</v>
      </c>
      <c r="D28" s="243"/>
      <c r="E28" s="243"/>
      <c r="F28" s="241"/>
      <c r="H28" s="177" t="s">
        <v>240</v>
      </c>
      <c r="I28" s="178" t="s">
        <v>240</v>
      </c>
      <c r="J28" s="179"/>
      <c r="K28" s="180" t="s">
        <v>241</v>
      </c>
    </row>
  </sheetData>
  <mergeCells count="39">
    <mergeCell ref="P21:P22"/>
    <mergeCell ref="Q21:Q22"/>
    <mergeCell ref="O27:P27"/>
    <mergeCell ref="L21:L22"/>
    <mergeCell ref="M21:M22"/>
    <mergeCell ref="A28:B28"/>
    <mergeCell ref="C28:F28"/>
    <mergeCell ref="O21:O22"/>
    <mergeCell ref="A21:F21"/>
    <mergeCell ref="H21:H22"/>
    <mergeCell ref="I21:I22"/>
    <mergeCell ref="J21:J22"/>
    <mergeCell ref="K21:K22"/>
    <mergeCell ref="O1:O2"/>
    <mergeCell ref="P1:P2"/>
    <mergeCell ref="N6:O6"/>
    <mergeCell ref="A1:E1"/>
    <mergeCell ref="G1:G2"/>
    <mergeCell ref="H1:H2"/>
    <mergeCell ref="I1:I2"/>
    <mergeCell ref="J1:J2"/>
    <mergeCell ref="K1:K2"/>
    <mergeCell ref="L1:L2"/>
    <mergeCell ref="A7:B7"/>
    <mergeCell ref="C7:E7"/>
    <mergeCell ref="L11:L12"/>
    <mergeCell ref="N1:N2"/>
    <mergeCell ref="N11:N12"/>
    <mergeCell ref="O11:O12"/>
    <mergeCell ref="P11:P12"/>
    <mergeCell ref="N16:O16"/>
    <mergeCell ref="A17:B17"/>
    <mergeCell ref="C17:E17"/>
    <mergeCell ref="A11:E11"/>
    <mergeCell ref="G11:G12"/>
    <mergeCell ref="H11:H12"/>
    <mergeCell ref="I11:I12"/>
    <mergeCell ref="J11:J12"/>
    <mergeCell ref="K11:K12"/>
  </mergeCells>
  <conditionalFormatting sqref="C7:E7">
    <cfRule type="cellIs" dxfId="8" priority="7" operator="equal">
      <formula>"Acceptable"</formula>
    </cfRule>
  </conditionalFormatting>
  <conditionalFormatting sqref="C7:E7">
    <cfRule type="cellIs" dxfId="7" priority="8" operator="equal">
      <formula>"Unacceptable"</formula>
    </cfRule>
  </conditionalFormatting>
  <conditionalFormatting sqref="C7:E7">
    <cfRule type="cellIs" dxfId="6" priority="9" operator="equal">
      <formula>"NOT VALID"</formula>
    </cfRule>
  </conditionalFormatting>
  <conditionalFormatting sqref="C17:E17">
    <cfRule type="cellIs" dxfId="5" priority="4" operator="equal">
      <formula>"Acceptable"</formula>
    </cfRule>
  </conditionalFormatting>
  <conditionalFormatting sqref="C17:E17">
    <cfRule type="cellIs" dxfId="4" priority="5" operator="equal">
      <formula>"Unacceptable"</formula>
    </cfRule>
  </conditionalFormatting>
  <conditionalFormatting sqref="C17:E17">
    <cfRule type="cellIs" dxfId="3" priority="6" operator="equal">
      <formula>"NOT VALID"</formula>
    </cfRule>
  </conditionalFormatting>
  <conditionalFormatting sqref="C28:E28">
    <cfRule type="cellIs" dxfId="2" priority="1" operator="equal">
      <formula>"Acceptable"</formula>
    </cfRule>
  </conditionalFormatting>
  <conditionalFormatting sqref="C28:E28">
    <cfRule type="cellIs" dxfId="1" priority="2" operator="equal">
      <formula>"Unacceptable"</formula>
    </cfRule>
  </conditionalFormatting>
  <conditionalFormatting sqref="C28:E28">
    <cfRule type="cellIs" dxfId="0" priority="3" operator="equal">
      <formula>"NOT VALID"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9622-C786-4EAA-A9FE-A310FF6B90CE}">
  <sheetPr codeName="Sheet8"/>
  <dimension ref="A1:E22"/>
  <sheetViews>
    <sheetView workbookViewId="0">
      <selection sqref="A1:D1"/>
    </sheetView>
  </sheetViews>
  <sheetFormatPr defaultColWidth="12.88671875" defaultRowHeight="14.4" x14ac:dyDescent="0.3"/>
  <cols>
    <col min="1" max="4" width="21.77734375" customWidth="1"/>
    <col min="5" max="5" width="16.21875" customWidth="1"/>
  </cols>
  <sheetData>
    <row r="1" spans="1:4" x14ac:dyDescent="0.3">
      <c r="A1" s="255" t="s">
        <v>254</v>
      </c>
      <c r="B1" s="256"/>
      <c r="C1" s="256"/>
      <c r="D1" s="257"/>
    </row>
    <row r="2" spans="1:4" x14ac:dyDescent="0.3">
      <c r="A2" s="28" t="s">
        <v>263</v>
      </c>
      <c r="B2" s="184" t="s">
        <v>249</v>
      </c>
      <c r="C2" s="184" t="s">
        <v>255</v>
      </c>
      <c r="D2" s="29" t="s">
        <v>256</v>
      </c>
    </row>
    <row r="3" spans="1:4" x14ac:dyDescent="0.3">
      <c r="A3" s="24" t="s">
        <v>257</v>
      </c>
      <c r="B3" s="56"/>
      <c r="C3" s="56"/>
      <c r="D3" s="25"/>
    </row>
    <row r="4" spans="1:4" x14ac:dyDescent="0.3">
      <c r="A4" s="24" t="s">
        <v>258</v>
      </c>
      <c r="B4" s="56">
        <f>B3^0.5</f>
        <v>0</v>
      </c>
      <c r="C4" s="56">
        <f t="shared" ref="C4:D4" si="0">C3^0.5</f>
        <v>0</v>
      </c>
      <c r="D4" s="25">
        <f t="shared" si="0"/>
        <v>0</v>
      </c>
    </row>
    <row r="5" spans="1:4" x14ac:dyDescent="0.3">
      <c r="A5" s="24" t="s">
        <v>259</v>
      </c>
      <c r="B5" s="56"/>
      <c r="C5" s="56"/>
      <c r="D5" s="25"/>
    </row>
    <row r="6" spans="1:4" ht="15" thickBot="1" x14ac:dyDescent="0.35">
      <c r="A6" s="130" t="s">
        <v>260</v>
      </c>
      <c r="B6" s="131"/>
      <c r="C6" s="131"/>
      <c r="D6" s="81"/>
    </row>
    <row r="8" spans="1:4" ht="15" thickBot="1" x14ac:dyDescent="0.35"/>
    <row r="9" spans="1:4" x14ac:dyDescent="0.3">
      <c r="A9" s="255" t="s">
        <v>261</v>
      </c>
      <c r="B9" s="256"/>
      <c r="C9" s="256"/>
      <c r="D9" s="257"/>
    </row>
    <row r="10" spans="1:4" x14ac:dyDescent="0.3">
      <c r="A10" s="28" t="s">
        <v>263</v>
      </c>
      <c r="B10" s="184" t="s">
        <v>249</v>
      </c>
      <c r="C10" s="184" t="s">
        <v>255</v>
      </c>
      <c r="D10" s="29" t="s">
        <v>256</v>
      </c>
    </row>
    <row r="11" spans="1:4" x14ac:dyDescent="0.3">
      <c r="A11" s="24" t="s">
        <v>257</v>
      </c>
      <c r="B11" s="56">
        <f>B3</f>
        <v>0</v>
      </c>
      <c r="C11" s="56">
        <f t="shared" ref="C11:D11" si="1">C3</f>
        <v>0</v>
      </c>
      <c r="D11" s="25">
        <f t="shared" si="1"/>
        <v>0</v>
      </c>
    </row>
    <row r="12" spans="1:4" x14ac:dyDescent="0.3">
      <c r="A12" s="24" t="s">
        <v>258</v>
      </c>
      <c r="B12" s="56">
        <f>B11^0.5</f>
        <v>0</v>
      </c>
      <c r="C12" s="56">
        <f t="shared" ref="C12" si="2">C11^0.5</f>
        <v>0</v>
      </c>
      <c r="D12" s="25">
        <f t="shared" ref="D12" si="3">D11^0.5</f>
        <v>0</v>
      </c>
    </row>
    <row r="13" spans="1:4" x14ac:dyDescent="0.3">
      <c r="A13" s="24" t="s">
        <v>259</v>
      </c>
      <c r="B13" s="56"/>
      <c r="C13" s="56"/>
      <c r="D13" s="25"/>
    </row>
    <row r="14" spans="1:4" ht="15" thickBot="1" x14ac:dyDescent="0.35">
      <c r="A14" s="130" t="s">
        <v>260</v>
      </c>
      <c r="B14" s="131"/>
      <c r="C14" s="131"/>
      <c r="D14" s="81"/>
    </row>
    <row r="16" spans="1:4" ht="15" thickBot="1" x14ac:dyDescent="0.35"/>
    <row r="17" spans="1:5" x14ac:dyDescent="0.3">
      <c r="A17" s="255" t="s">
        <v>262</v>
      </c>
      <c r="B17" s="256"/>
      <c r="C17" s="256"/>
      <c r="D17" s="256"/>
      <c r="E17" s="257"/>
    </row>
    <row r="18" spans="1:5" x14ac:dyDescent="0.3">
      <c r="A18" s="28" t="s">
        <v>263</v>
      </c>
      <c r="B18" s="184" t="s">
        <v>249</v>
      </c>
      <c r="C18" s="184" t="s">
        <v>250</v>
      </c>
      <c r="D18" s="184" t="s">
        <v>251</v>
      </c>
      <c r="E18" s="77" t="s">
        <v>264</v>
      </c>
    </row>
    <row r="19" spans="1:5" x14ac:dyDescent="0.3">
      <c r="A19" s="24" t="s">
        <v>257</v>
      </c>
      <c r="B19" s="56">
        <f>B3</f>
        <v>0</v>
      </c>
      <c r="C19" s="56"/>
      <c r="D19" s="56"/>
      <c r="E19" s="25"/>
    </row>
    <row r="20" spans="1:5" x14ac:dyDescent="0.3">
      <c r="A20" s="24" t="s">
        <v>258</v>
      </c>
      <c r="B20" s="56">
        <f>B19^0.5</f>
        <v>0</v>
      </c>
      <c r="C20" s="56">
        <f t="shared" ref="C20" si="4">C19^0.5</f>
        <v>0</v>
      </c>
      <c r="D20" s="56">
        <f t="shared" ref="D20" si="5">D19^0.5</f>
        <v>0</v>
      </c>
      <c r="E20" s="25">
        <f>E19^0.5</f>
        <v>0</v>
      </c>
    </row>
    <row r="21" spans="1:5" x14ac:dyDescent="0.3">
      <c r="A21" s="24" t="s">
        <v>259</v>
      </c>
      <c r="B21" s="56"/>
      <c r="C21" s="56"/>
      <c r="D21" s="56"/>
      <c r="E21" s="25"/>
    </row>
    <row r="22" spans="1:5" ht="15" thickBot="1" x14ac:dyDescent="0.35">
      <c r="A22" s="130" t="s">
        <v>260</v>
      </c>
      <c r="B22" s="131"/>
      <c r="C22" s="131"/>
      <c r="D22" s="131"/>
      <c r="E22" s="81"/>
    </row>
  </sheetData>
  <mergeCells count="3">
    <mergeCell ref="A1:D1"/>
    <mergeCell ref="A9:D9"/>
    <mergeCell ref="A17:E17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4C50B-F63B-4C35-BCAF-C9B97E86A561}">
  <sheetPr codeName="Sheet9"/>
  <dimension ref="A1:V45"/>
  <sheetViews>
    <sheetView workbookViewId="0"/>
  </sheetViews>
  <sheetFormatPr defaultRowHeight="14.4" x14ac:dyDescent="0.3"/>
  <cols>
    <col min="1" max="1" width="15.109375" customWidth="1"/>
    <col min="2" max="2" width="18.6640625" bestFit="1" customWidth="1"/>
    <col min="3" max="5" width="22.21875" bestFit="1" customWidth="1"/>
    <col min="6" max="6" width="22.109375" bestFit="1" customWidth="1"/>
    <col min="7" max="7" width="12.21875" bestFit="1" customWidth="1"/>
    <col min="8" max="22" width="7" customWidth="1"/>
  </cols>
  <sheetData>
    <row r="1" spans="1:22" x14ac:dyDescent="0.3">
      <c r="A1" s="189">
        <v>1</v>
      </c>
      <c r="B1" s="189">
        <v>2</v>
      </c>
      <c r="C1" s="189">
        <v>3</v>
      </c>
      <c r="D1" s="189">
        <v>4</v>
      </c>
      <c r="E1" s="189">
        <v>5</v>
      </c>
      <c r="F1" s="189">
        <v>6</v>
      </c>
      <c r="G1" s="189">
        <v>7</v>
      </c>
      <c r="H1" s="189">
        <v>8</v>
      </c>
      <c r="I1" s="189">
        <v>9</v>
      </c>
      <c r="J1" s="189">
        <v>10</v>
      </c>
      <c r="K1" s="189">
        <v>11</v>
      </c>
      <c r="L1" s="189">
        <v>12</v>
      </c>
      <c r="M1" s="189">
        <v>13</v>
      </c>
      <c r="N1" s="189">
        <v>14</v>
      </c>
      <c r="O1" s="189">
        <v>15</v>
      </c>
      <c r="P1" s="189">
        <v>16</v>
      </c>
      <c r="Q1" s="189">
        <v>17</v>
      </c>
      <c r="R1" s="189">
        <v>18</v>
      </c>
      <c r="S1" s="189">
        <v>19</v>
      </c>
      <c r="T1" s="189">
        <v>20</v>
      </c>
      <c r="U1" s="189">
        <v>21</v>
      </c>
      <c r="V1" s="189">
        <v>22</v>
      </c>
    </row>
    <row r="2" spans="1:22" ht="15" thickBot="1" x14ac:dyDescent="0.35"/>
    <row r="3" spans="1:22" x14ac:dyDescent="0.3">
      <c r="A3" s="258" t="s">
        <v>265</v>
      </c>
      <c r="B3" s="259"/>
      <c r="C3" s="259"/>
      <c r="D3" s="259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187"/>
    </row>
    <row r="4" spans="1:22" x14ac:dyDescent="0.3">
      <c r="A4" s="188" t="s">
        <v>134</v>
      </c>
      <c r="B4" s="2" t="s">
        <v>137</v>
      </c>
      <c r="C4" s="2" t="s">
        <v>135</v>
      </c>
      <c r="D4" s="2" t="s">
        <v>136</v>
      </c>
      <c r="E4" s="2" t="s">
        <v>219</v>
      </c>
      <c r="F4" s="2" t="s">
        <v>220</v>
      </c>
      <c r="G4" s="2" t="s">
        <v>138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3"/>
    </row>
    <row r="5" spans="1:22" x14ac:dyDescent="0.3">
      <c r="A5" s="5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3"/>
    </row>
    <row r="6" spans="1:22" x14ac:dyDescent="0.3">
      <c r="A6" s="188" t="s">
        <v>147</v>
      </c>
      <c r="B6" s="2" t="s">
        <v>148</v>
      </c>
      <c r="C6" s="2" t="s">
        <v>211</v>
      </c>
      <c r="D6" s="2" t="s">
        <v>219</v>
      </c>
      <c r="E6" s="2" t="s">
        <v>220</v>
      </c>
      <c r="F6" s="2" t="s">
        <v>138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3"/>
    </row>
    <row r="7" spans="1:22" x14ac:dyDescent="0.3">
      <c r="A7" s="5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3"/>
    </row>
    <row r="8" spans="1:22" x14ac:dyDescent="0.3">
      <c r="A8" s="188" t="s">
        <v>152</v>
      </c>
      <c r="B8" s="2" t="s">
        <v>211</v>
      </c>
      <c r="C8" s="2" t="s">
        <v>219</v>
      </c>
      <c r="D8" s="2" t="s">
        <v>220</v>
      </c>
      <c r="E8" s="2" t="s">
        <v>138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3"/>
    </row>
    <row r="9" spans="1:22" x14ac:dyDescent="0.3">
      <c r="A9" s="51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3"/>
    </row>
    <row r="10" spans="1:22" x14ac:dyDescent="0.3">
      <c r="A10" s="188" t="s">
        <v>153</v>
      </c>
      <c r="B10" s="2" t="s">
        <v>211</v>
      </c>
      <c r="C10" s="2" t="s">
        <v>219</v>
      </c>
      <c r="D10" s="2" t="s">
        <v>220</v>
      </c>
      <c r="E10" s="2" t="s">
        <v>138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3"/>
    </row>
    <row r="11" spans="1:22" x14ac:dyDescent="0.3">
      <c r="A11" s="5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3"/>
    </row>
    <row r="12" spans="1:22" x14ac:dyDescent="0.3">
      <c r="A12" s="188" t="s">
        <v>158</v>
      </c>
      <c r="B12" s="2" t="s">
        <v>137</v>
      </c>
      <c r="C12" s="2" t="s">
        <v>219</v>
      </c>
      <c r="D12" s="2" t="s">
        <v>220</v>
      </c>
      <c r="E12" s="2" t="s">
        <v>138</v>
      </c>
      <c r="F12" s="2" t="s">
        <v>162</v>
      </c>
      <c r="G12" s="2" t="s">
        <v>163</v>
      </c>
      <c r="H12" s="2" t="s">
        <v>164</v>
      </c>
      <c r="I12" s="2" t="s">
        <v>165</v>
      </c>
      <c r="J12" s="2" t="s">
        <v>166</v>
      </c>
      <c r="K12" s="2" t="s">
        <v>167</v>
      </c>
      <c r="L12" s="2" t="s">
        <v>168</v>
      </c>
      <c r="M12" s="2" t="s">
        <v>169</v>
      </c>
      <c r="N12" s="2" t="s">
        <v>170</v>
      </c>
      <c r="O12" s="2" t="s">
        <v>171</v>
      </c>
      <c r="P12" s="2" t="s">
        <v>172</v>
      </c>
      <c r="Q12" s="2" t="s">
        <v>173</v>
      </c>
      <c r="R12" s="2" t="s">
        <v>174</v>
      </c>
      <c r="S12" s="2" t="s">
        <v>175</v>
      </c>
      <c r="T12" s="2" t="s">
        <v>176</v>
      </c>
      <c r="U12" s="2" t="s">
        <v>177</v>
      </c>
      <c r="V12" s="3" t="s">
        <v>178</v>
      </c>
    </row>
    <row r="13" spans="1:22" x14ac:dyDescent="0.3">
      <c r="A13" s="190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3"/>
    </row>
    <row r="14" spans="1:22" x14ac:dyDescent="0.3">
      <c r="A14" s="188" t="s">
        <v>221</v>
      </c>
      <c r="B14" s="2" t="s">
        <v>222</v>
      </c>
      <c r="C14" s="2" t="s">
        <v>223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3"/>
    </row>
    <row r="15" spans="1:22" ht="15" thickBot="1" x14ac:dyDescent="0.35">
      <c r="A15" s="54"/>
      <c r="B15" s="186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5"/>
    </row>
    <row r="17" spans="1:22" ht="15" thickBot="1" x14ac:dyDescent="0.35"/>
    <row r="18" spans="1:22" x14ac:dyDescent="0.3">
      <c r="A18" s="258" t="s">
        <v>266</v>
      </c>
      <c r="B18" s="259"/>
      <c r="C18" s="259"/>
      <c r="D18" s="259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187"/>
    </row>
    <row r="19" spans="1:22" x14ac:dyDescent="0.3">
      <c r="A19" s="188" t="s">
        <v>134</v>
      </c>
      <c r="B19" s="2" t="s">
        <v>137</v>
      </c>
      <c r="C19" s="2" t="s">
        <v>135</v>
      </c>
      <c r="D19" s="2" t="s">
        <v>136</v>
      </c>
      <c r="E19" s="2" t="s">
        <v>219</v>
      </c>
      <c r="F19" s="2" t="s">
        <v>220</v>
      </c>
      <c r="G19" s="2" t="s">
        <v>138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3"/>
    </row>
    <row r="20" spans="1:22" x14ac:dyDescent="0.3">
      <c r="A20" s="5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3"/>
    </row>
    <row r="21" spans="1:22" x14ac:dyDescent="0.3">
      <c r="A21" s="188" t="s">
        <v>147</v>
      </c>
      <c r="B21" s="2" t="s">
        <v>148</v>
      </c>
      <c r="C21" s="2" t="s">
        <v>211</v>
      </c>
      <c r="D21" s="2" t="s">
        <v>219</v>
      </c>
      <c r="E21" s="2" t="s">
        <v>220</v>
      </c>
      <c r="F21" s="2" t="s">
        <v>138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3"/>
    </row>
    <row r="22" spans="1:22" x14ac:dyDescent="0.3">
      <c r="A22" s="5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3"/>
    </row>
    <row r="23" spans="1:22" x14ac:dyDescent="0.3">
      <c r="A23" s="188" t="s">
        <v>152</v>
      </c>
      <c r="B23" s="2" t="s">
        <v>211</v>
      </c>
      <c r="C23" s="2" t="s">
        <v>219</v>
      </c>
      <c r="D23" s="2" t="s">
        <v>220</v>
      </c>
      <c r="E23" s="2" t="s">
        <v>138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3"/>
    </row>
    <row r="24" spans="1:22" x14ac:dyDescent="0.3">
      <c r="A24" s="5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</row>
    <row r="25" spans="1:22" x14ac:dyDescent="0.3">
      <c r="A25" s="188" t="s">
        <v>153</v>
      </c>
      <c r="B25" s="2" t="s">
        <v>211</v>
      </c>
      <c r="C25" s="2" t="s">
        <v>219</v>
      </c>
      <c r="D25" s="2" t="s">
        <v>220</v>
      </c>
      <c r="E25" s="2" t="s">
        <v>138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3"/>
    </row>
    <row r="26" spans="1:22" x14ac:dyDescent="0.3">
      <c r="A26" s="5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3"/>
    </row>
    <row r="27" spans="1:22" x14ac:dyDescent="0.3">
      <c r="A27" s="188" t="s">
        <v>158</v>
      </c>
      <c r="B27" s="2" t="s">
        <v>137</v>
      </c>
      <c r="C27" s="2" t="s">
        <v>219</v>
      </c>
      <c r="D27" s="2" t="s">
        <v>220</v>
      </c>
      <c r="E27" s="2" t="s">
        <v>138</v>
      </c>
      <c r="F27" s="2" t="s">
        <v>162</v>
      </c>
      <c r="G27" s="2" t="s">
        <v>163</v>
      </c>
      <c r="H27" s="2" t="s">
        <v>164</v>
      </c>
      <c r="I27" s="2" t="s">
        <v>165</v>
      </c>
      <c r="J27" s="2" t="s">
        <v>166</v>
      </c>
      <c r="K27" s="2" t="s">
        <v>167</v>
      </c>
      <c r="L27" s="2" t="s">
        <v>168</v>
      </c>
      <c r="M27" s="2" t="s">
        <v>169</v>
      </c>
      <c r="N27" s="2" t="s">
        <v>170</v>
      </c>
      <c r="O27" s="2" t="s">
        <v>171</v>
      </c>
      <c r="P27" s="2" t="s">
        <v>172</v>
      </c>
      <c r="Q27" s="2" t="s">
        <v>173</v>
      </c>
      <c r="R27" s="2" t="s">
        <v>174</v>
      </c>
      <c r="S27" s="2" t="s">
        <v>175</v>
      </c>
      <c r="T27" s="2" t="s">
        <v>176</v>
      </c>
      <c r="U27" s="2" t="s">
        <v>177</v>
      </c>
      <c r="V27" s="3" t="s">
        <v>178</v>
      </c>
    </row>
    <row r="28" spans="1:22" x14ac:dyDescent="0.3">
      <c r="A28" s="190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3"/>
    </row>
    <row r="29" spans="1:22" x14ac:dyDescent="0.3">
      <c r="A29" s="188" t="s">
        <v>221</v>
      </c>
      <c r="B29" s="2" t="s">
        <v>222</v>
      </c>
      <c r="C29" s="2" t="s">
        <v>223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3"/>
    </row>
    <row r="30" spans="1:22" ht="15" thickBot="1" x14ac:dyDescent="0.35">
      <c r="A30" s="54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5"/>
    </row>
    <row r="32" spans="1:22" ht="15" thickBot="1" x14ac:dyDescent="0.35"/>
    <row r="33" spans="1:22" x14ac:dyDescent="0.3">
      <c r="A33" s="258" t="s">
        <v>267</v>
      </c>
      <c r="B33" s="259"/>
      <c r="C33" s="259"/>
      <c r="D33" s="259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187"/>
    </row>
    <row r="34" spans="1:22" x14ac:dyDescent="0.3">
      <c r="A34" s="188" t="s">
        <v>134</v>
      </c>
      <c r="B34" s="2" t="s">
        <v>137</v>
      </c>
      <c r="C34" s="2" t="s">
        <v>135</v>
      </c>
      <c r="D34" s="2" t="s">
        <v>136</v>
      </c>
      <c r="E34" s="2" t="s">
        <v>219</v>
      </c>
      <c r="F34" s="2" t="s">
        <v>220</v>
      </c>
      <c r="G34" s="2" t="s">
        <v>138</v>
      </c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3"/>
    </row>
    <row r="35" spans="1:22" x14ac:dyDescent="0.3">
      <c r="A35" s="5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3"/>
    </row>
    <row r="36" spans="1:22" x14ac:dyDescent="0.3">
      <c r="A36" s="188" t="s">
        <v>147</v>
      </c>
      <c r="B36" s="2" t="s">
        <v>148</v>
      </c>
      <c r="C36" s="2" t="s">
        <v>211</v>
      </c>
      <c r="D36" s="2" t="s">
        <v>219</v>
      </c>
      <c r="E36" s="2" t="s">
        <v>220</v>
      </c>
      <c r="F36" s="2" t="s">
        <v>138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3"/>
    </row>
    <row r="37" spans="1:22" x14ac:dyDescent="0.3">
      <c r="A37" s="5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3"/>
    </row>
    <row r="38" spans="1:22" x14ac:dyDescent="0.3">
      <c r="A38" s="188" t="s">
        <v>152</v>
      </c>
      <c r="B38" s="2" t="s">
        <v>211</v>
      </c>
      <c r="C38" s="2" t="s">
        <v>219</v>
      </c>
      <c r="D38" s="2" t="s">
        <v>220</v>
      </c>
      <c r="E38" s="2" t="s">
        <v>138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3"/>
    </row>
    <row r="39" spans="1:22" x14ac:dyDescent="0.3">
      <c r="A39" s="5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3"/>
    </row>
    <row r="40" spans="1:22" x14ac:dyDescent="0.3">
      <c r="A40" s="188" t="s">
        <v>153</v>
      </c>
      <c r="B40" s="2" t="s">
        <v>211</v>
      </c>
      <c r="C40" s="2" t="s">
        <v>219</v>
      </c>
      <c r="D40" s="2" t="s">
        <v>220</v>
      </c>
      <c r="E40" s="2" t="s">
        <v>138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3"/>
    </row>
    <row r="41" spans="1:22" x14ac:dyDescent="0.3">
      <c r="A41" s="5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3"/>
    </row>
    <row r="42" spans="1:22" x14ac:dyDescent="0.3">
      <c r="A42" s="188" t="s">
        <v>158</v>
      </c>
      <c r="B42" s="2" t="s">
        <v>137</v>
      </c>
      <c r="C42" s="2" t="s">
        <v>219</v>
      </c>
      <c r="D42" s="2" t="s">
        <v>220</v>
      </c>
      <c r="E42" s="2" t="s">
        <v>138</v>
      </c>
      <c r="F42" s="2" t="s">
        <v>162</v>
      </c>
      <c r="G42" s="2" t="s">
        <v>163</v>
      </c>
      <c r="H42" s="2" t="s">
        <v>164</v>
      </c>
      <c r="I42" s="2" t="s">
        <v>165</v>
      </c>
      <c r="J42" s="2" t="s">
        <v>166</v>
      </c>
      <c r="K42" s="2" t="s">
        <v>167</v>
      </c>
      <c r="L42" s="2" t="s">
        <v>168</v>
      </c>
      <c r="M42" s="2" t="s">
        <v>169</v>
      </c>
      <c r="N42" s="2" t="s">
        <v>170</v>
      </c>
      <c r="O42" s="2" t="s">
        <v>171</v>
      </c>
      <c r="P42" s="2" t="s">
        <v>172</v>
      </c>
      <c r="Q42" s="2" t="s">
        <v>173</v>
      </c>
      <c r="R42" s="2" t="s">
        <v>174</v>
      </c>
      <c r="S42" s="2" t="s">
        <v>175</v>
      </c>
      <c r="T42" s="2" t="s">
        <v>176</v>
      </c>
      <c r="U42" s="2" t="s">
        <v>177</v>
      </c>
      <c r="V42" s="3" t="s">
        <v>178</v>
      </c>
    </row>
    <row r="43" spans="1:22" x14ac:dyDescent="0.3">
      <c r="A43" s="190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3"/>
    </row>
    <row r="44" spans="1:22" x14ac:dyDescent="0.3">
      <c r="A44" s="188" t="s">
        <v>221</v>
      </c>
      <c r="B44" s="2" t="s">
        <v>222</v>
      </c>
      <c r="C44" s="2" t="s">
        <v>223</v>
      </c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3"/>
    </row>
    <row r="45" spans="1:22" ht="15" thickBot="1" x14ac:dyDescent="0.35">
      <c r="A45" s="54"/>
      <c r="B45" s="186"/>
      <c r="C45" s="186"/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5"/>
    </row>
  </sheetData>
  <mergeCells count="3">
    <mergeCell ref="A3:D3"/>
    <mergeCell ref="A18:D18"/>
    <mergeCell ref="A33:D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Research_Doors</vt:lpstr>
      <vt:lpstr>Research_Levels</vt:lpstr>
      <vt:lpstr>Research_Floors</vt:lpstr>
      <vt:lpstr>Research_Wall</vt:lpstr>
      <vt:lpstr>Research_Window</vt:lpstr>
      <vt:lpstr>Cooling_Load_Calculation</vt:lpstr>
      <vt:lpstr>Alternative_Materials</vt:lpstr>
      <vt:lpstr>City_Details</vt:lpstr>
      <vt:lpstr>Window</vt:lpstr>
      <vt:lpstr>Wall</vt:lpstr>
      <vt:lpstr>Roof</vt:lpstr>
      <vt:lpstr>AHP</vt:lpstr>
      <vt:lpstr>TOPSIS</vt:lpstr>
      <vt:lpstr>Orientation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Gayashan Dananjaya</dc:creator>
  <cp:lastModifiedBy>Gayashan Dananjaya</cp:lastModifiedBy>
  <dcterms:created xsi:type="dcterms:W3CDTF">2022-02-16T05:52:32Z</dcterms:created>
  <dcterms:modified xsi:type="dcterms:W3CDTF">2022-05-17T08:26:46Z</dcterms:modified>
</cp:coreProperties>
</file>