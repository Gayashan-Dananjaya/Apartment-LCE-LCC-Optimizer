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Dynamo\Manual Calculations\ASHRAE Method\Developing\V 2.0\"/>
    </mc:Choice>
  </mc:AlternateContent>
  <xr:revisionPtr revIDLastSave="0" documentId="13_ncr:1_{9B6F8058-4875-4A8F-ABD1-53E34F0593BB}" xr6:coauthVersionLast="47" xr6:coauthVersionMax="47" xr10:uidLastSave="{00000000-0000-0000-0000-000000000000}"/>
  <bookViews>
    <workbookView xWindow="-108" yWindow="-108" windowWidth="23256" windowHeight="12576" tabRatio="694" xr2:uid="{CDE63A1C-BCBD-41DE-A856-D88768D27E76}"/>
  </bookViews>
  <sheets>
    <sheet name="Cooling_Load_Calculation" sheetId="1" r:id="rId1"/>
    <sheet name="Alternative_Materials" sheetId="6" r:id="rId2"/>
    <sheet name="City_Details" sheetId="2" r:id="rId3"/>
    <sheet name="Window" sheetId="3" r:id="rId4"/>
    <sheet name="Wall" sheetId="4" r:id="rId5"/>
    <sheet name="Roof" sheetId="5" r:id="rId6"/>
    <sheet name="AHP" sheetId="7" r:id="rId7"/>
    <sheet name="TOPSIS" sheetId="8" r:id="rId8"/>
    <sheet name="Orientation" sheetId="9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N48" i="1"/>
  <c r="G48" i="1"/>
  <c r="K48" i="1"/>
  <c r="R48" i="1"/>
  <c r="T48" i="1"/>
  <c r="M48" i="1"/>
  <c r="S48" i="1"/>
  <c r="J48" i="1"/>
  <c r="V48" i="1"/>
  <c r="W48" i="1"/>
  <c r="O48" i="1"/>
  <c r="P48" i="1"/>
  <c r="U48" i="1"/>
  <c r="L48" i="1"/>
  <c r="H48" i="1"/>
  <c r="Q48" i="1"/>
  <c r="I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AN48" i="1"/>
  <c r="AN66" i="1" s="1"/>
  <c r="AN70" i="1" s="1"/>
  <c r="AN72" i="1" s="1"/>
  <c r="Z48" i="1"/>
  <c r="Z66" i="1" s="1"/>
  <c r="Y48" i="1"/>
  <c r="Y66" i="1" s="1"/>
  <c r="Y70" i="1" s="1"/>
  <c r="Y72" i="1" s="1"/>
  <c r="AA48" i="1"/>
  <c r="AA66" i="1" s="1"/>
  <c r="F48" i="1"/>
  <c r="AG48" i="1" s="1"/>
  <c r="AG66" i="1" s="1"/>
  <c r="AG70" i="1" s="1"/>
  <c r="AG72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F48" i="1" l="1"/>
  <c r="AF66" i="1" s="1"/>
  <c r="AF70" i="1" s="1"/>
  <c r="AF72" i="1" s="1"/>
  <c r="AF76" i="1" s="1"/>
  <c r="AD48" i="1"/>
  <c r="AD66" i="1" s="1"/>
  <c r="AD70" i="1" s="1"/>
  <c r="AD72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X48" i="1"/>
  <c r="X66" i="1" s="1"/>
  <c r="X70" i="1" s="1"/>
  <c r="X72" i="1" s="1"/>
  <c r="X76" i="1" s="1"/>
  <c r="AG76" i="1"/>
  <c r="AG74" i="1"/>
  <c r="AA74" i="1"/>
  <c r="AA76" i="1"/>
  <c r="Y76" i="1"/>
  <c r="Y74" i="1"/>
  <c r="AN76" i="1"/>
  <c r="AN74" i="1"/>
  <c r="X74" i="1"/>
  <c r="AF74" i="1"/>
  <c r="AD76" i="1"/>
  <c r="AD74" i="1"/>
  <c r="AB76" i="1"/>
  <c r="AK76" i="1"/>
  <c r="AK74" i="1"/>
  <c r="AC76" i="1"/>
  <c r="AC74" i="1"/>
  <c r="AI74" i="1"/>
  <c r="AJ74" i="1"/>
  <c r="AE76" i="1" l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<sst xmlns="http://schemas.openxmlformats.org/spreadsheetml/2006/main" count="758" uniqueCount="268">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</sst>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0" borderId="24" xfId="0" applyFill="1" applyBorder="1"/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tabSelected="1"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195" t="s">
        <v>10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</row>
    <row r="2" spans="1:40" x14ac:dyDescent="0.3">
      <c r="A2" s="193" t="s">
        <v>11</v>
      </c>
      <c r="B2" s="193"/>
      <c r="C2" s="193"/>
      <c r="D2" s="196" t="s">
        <v>4</v>
      </c>
      <c r="E2" s="196"/>
      <c r="G2" s="192" t="s">
        <v>231</v>
      </c>
      <c r="H2" s="192"/>
      <c r="I2" s="192"/>
      <c r="J2" s="192"/>
      <c r="K2" s="135">
        <v>0.29899999999999999</v>
      </c>
    </row>
    <row r="3" spans="1:40" x14ac:dyDescent="0.3">
      <c r="A3" s="193" t="s">
        <v>128</v>
      </c>
      <c r="B3" s="193"/>
      <c r="C3" s="193"/>
      <c r="D3" s="196" t="s">
        <v>131</v>
      </c>
      <c r="E3" s="196"/>
      <c r="G3" s="192" t="s">
        <v>229</v>
      </c>
      <c r="H3" s="192"/>
      <c r="I3" s="192"/>
      <c r="J3" s="192"/>
      <c r="K3" s="135">
        <v>50</v>
      </c>
    </row>
    <row r="4" spans="1:40" x14ac:dyDescent="0.3">
      <c r="A4" s="193" t="s">
        <v>27</v>
      </c>
      <c r="B4" s="193"/>
      <c r="C4" s="193"/>
      <c r="D4" s="194">
        <v>26</v>
      </c>
      <c r="E4" s="194"/>
      <c r="G4" s="192" t="s">
        <v>227</v>
      </c>
      <c r="H4" s="192"/>
      <c r="I4" s="192"/>
      <c r="J4" s="192"/>
      <c r="K4" s="135">
        <v>10</v>
      </c>
    </row>
    <row r="5" spans="1:40" x14ac:dyDescent="0.3">
      <c r="A5" s="193" t="s">
        <v>111</v>
      </c>
      <c r="B5" s="193"/>
      <c r="C5" s="193"/>
      <c r="D5" s="194">
        <v>0.5</v>
      </c>
      <c r="E5" s="194"/>
      <c r="G5" s="192" t="s">
        <v>230</v>
      </c>
      <c r="H5" s="192"/>
      <c r="I5" s="192"/>
      <c r="J5" s="192"/>
      <c r="K5" s="135">
        <v>30</v>
      </c>
    </row>
    <row r="6" spans="1:40" x14ac:dyDescent="0.3">
      <c r="A6" s="209" t="s">
        <v>98</v>
      </c>
      <c r="B6" s="209"/>
      <c r="C6" s="209"/>
      <c r="D6" s="194"/>
      <c r="E6" s="203"/>
      <c r="F6" s="118"/>
    </row>
    <row r="7" spans="1:40" x14ac:dyDescent="0.3">
      <c r="A7" s="209" t="s">
        <v>104</v>
      </c>
      <c r="B7" s="209"/>
      <c r="C7" s="209"/>
      <c r="D7" s="194">
        <f>City_Details!H15</f>
        <v>0.74</v>
      </c>
      <c r="E7" s="194"/>
    </row>
    <row r="8" spans="1:40" x14ac:dyDescent="0.3">
      <c r="A8" s="209" t="s">
        <v>108</v>
      </c>
      <c r="B8" s="209"/>
      <c r="C8" s="209"/>
      <c r="D8" s="194">
        <f>City_Details!H16</f>
        <v>100.8</v>
      </c>
      <c r="E8" s="194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03" t="s">
        <v>34</v>
      </c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2"/>
      <c r="X12" s="200" t="s">
        <v>34</v>
      </c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2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03" t="s">
        <v>55</v>
      </c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2"/>
      <c r="X14" s="204" t="s">
        <v>212</v>
      </c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203"/>
      <c r="AK14" s="203"/>
      <c r="AL14" s="203"/>
      <c r="AM14" s="203"/>
      <c r="AN14" s="205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03" t="s">
        <v>62</v>
      </c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01"/>
      <c r="S24" s="201"/>
      <c r="T24" s="201"/>
      <c r="U24" s="201"/>
      <c r="V24" s="201"/>
      <c r="W24" s="202"/>
      <c r="X24" s="204" t="s">
        <v>63</v>
      </c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203"/>
      <c r="AK24" s="203"/>
      <c r="AL24" s="203"/>
      <c r="AM24" s="203"/>
      <c r="AN24" s="205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03" t="s">
        <v>62</v>
      </c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201"/>
      <c r="W29" s="202"/>
      <c r="X29" s="204" t="s">
        <v>63</v>
      </c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203"/>
      <c r="AK29" s="203"/>
      <c r="AL29" s="203"/>
      <c r="AM29" s="203"/>
      <c r="AN29" s="205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203" t="s">
        <v>79</v>
      </c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1"/>
      <c r="S33" s="201"/>
      <c r="T33" s="201"/>
      <c r="U33" s="201"/>
      <c r="V33" s="201"/>
      <c r="W33" s="202"/>
      <c r="X33" s="204" t="s">
        <v>213</v>
      </c>
      <c r="Y33" s="194"/>
      <c r="Z33" s="194"/>
      <c r="AA33" s="194"/>
      <c r="AB33" s="194"/>
      <c r="AC33" s="194"/>
      <c r="AD33" s="194"/>
      <c r="AE33" s="194"/>
      <c r="AF33" s="194"/>
      <c r="AG33" s="194"/>
      <c r="AH33" s="194"/>
      <c r="AI33" s="194"/>
      <c r="AJ33" s="203"/>
      <c r="AK33" s="203"/>
      <c r="AL33" s="203"/>
      <c r="AM33" s="203"/>
      <c r="AN33" s="205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03" t="s">
        <v>62</v>
      </c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2"/>
      <c r="X43" s="204" t="s">
        <v>214</v>
      </c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203"/>
      <c r="AK43" s="203"/>
      <c r="AL43" s="203"/>
      <c r="AM43" s="203"/>
      <c r="AN43" s="205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03" t="s">
        <v>107</v>
      </c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  <c r="U47" s="201"/>
      <c r="V47" s="201"/>
      <c r="W47" s="202"/>
      <c r="X47" s="204" t="s">
        <v>112</v>
      </c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203"/>
      <c r="AK47" s="203"/>
      <c r="AL47" s="203"/>
      <c r="AM47" s="203"/>
      <c r="AN47" s="205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>([1]!humidratio(G31,$D$8,3,$D$7,TRUE))-([1]!humidratio($D$4,$D$8,3,$D$5,TRUE))</f>
        <v>#VALUE!</v>
      </c>
      <c r="H48" s="33" t="e">
        <f>([1]!humidratio(H31,$D$8,3,$D$7,TRUE))-([1]!humidratio($D$4,$D$8,3,$D$5,TRUE))</f>
        <v>#VALUE!</v>
      </c>
      <c r="I48" s="33" t="e">
        <f>([1]!humidratio(I31,$D$8,3,$D$7,TRUE))-([1]!humidratio($D$4,$D$8,3,$D$5,TRUE))</f>
        <v>#VALUE!</v>
      </c>
      <c r="J48" s="33" t="e">
        <f>([1]!humidratio(J31,$D$8,3,$D$7,TRUE))-([1]!humidratio($D$4,$D$8,3,$D$5,TRUE))</f>
        <v>#VALUE!</v>
      </c>
      <c r="K48" s="33" t="e">
        <f>([1]!humidratio(K31,$D$8,3,$D$7,TRUE))-([1]!humidratio($D$4,$D$8,3,$D$5,TRUE))</f>
        <v>#VALUE!</v>
      </c>
      <c r="L48" s="33" t="e">
        <f>([1]!humidratio(L31,$D$8,3,$D$7,TRUE))-([1]!humidratio($D$4,$D$8,3,$D$5,TRUE))</f>
        <v>#VALUE!</v>
      </c>
      <c r="M48" s="33" t="e">
        <f>([1]!humidratio(M31,$D$8,3,$D$7,TRUE))-([1]!humidratio($D$4,$D$8,3,$D$5,TRUE))</f>
        <v>#VALUE!</v>
      </c>
      <c r="N48" s="33" t="e">
        <f>([1]!humidratio(N31,$D$8,3,$D$7,TRUE))-([1]!humidratio($D$4,$D$8,3,$D$5,TRUE))</f>
        <v>#VALUE!</v>
      </c>
      <c r="O48" s="33" t="e">
        <f>([1]!humidratio(O31,$D$8,3,$D$7,TRUE))-([1]!humidratio($D$4,$D$8,3,$D$5,TRUE))</f>
        <v>#VALUE!</v>
      </c>
      <c r="P48" s="33" t="e">
        <f>([1]!humidratio(P31,$D$8,3,$D$7,TRUE))-([1]!humidratio($D$4,$D$8,3,$D$5,TRUE))</f>
        <v>#VALUE!</v>
      </c>
      <c r="Q48" s="33" t="e">
        <f>([1]!humidratio(Q31,$D$8,3,$D$7,TRUE))-([1]!humidratio($D$4,$D$8,3,$D$5,TRUE))</f>
        <v>#VALUE!</v>
      </c>
      <c r="R48" s="33" t="e">
        <f>([1]!humidratio(R31,$D$8,3,$D$7,TRUE))-([1]!humidratio($D$4,$D$8,3,$D$5,TRUE))</f>
        <v>#VALUE!</v>
      </c>
      <c r="S48" s="33" t="e">
        <f>([1]!humidratio(S31,$D$8,3,$D$7,TRUE))-([1]!humidratio($D$4,$D$8,3,$D$5,TRUE))</f>
        <v>#VALUE!</v>
      </c>
      <c r="T48" s="33" t="e">
        <f>([1]!humidratio(T31,$D$8,3,$D$7,TRUE))-([1]!humidratio($D$4,$D$8,3,$D$5,TRUE))</f>
        <v>#VALUE!</v>
      </c>
      <c r="U48" s="33" t="e">
        <f>([1]!humidratio(U31,$D$8,3,$D$7,TRUE))-([1]!humidratio($D$4,$D$8,3,$D$5,TRUE))</f>
        <v>#VALUE!</v>
      </c>
      <c r="V48" s="33" t="e">
        <f>([1]!humidratio(V31,$D$8,3,$D$7,TRUE))-([1]!humidratio($D$4,$D$8,3,$D$5,TRUE))</f>
        <v>#VALUE!</v>
      </c>
      <c r="W48" s="33" t="e">
        <f>([1]!humidratio(W31,$D$8,3,$D$7,TRUE))-([1]!humidratio($D$4,$D$8,3,$D$5,TRUE))</f>
        <v>#VALUE!</v>
      </c>
      <c r="X48" s="34" t="e">
        <f>IF(0.293071*$E$48*$F$48*G48&gt;=0,0.293071*$E$48*$F$48*G48,-1*(0.293071*$E$48*$F$48*G48))</f>
        <v>#VALUE!</v>
      </c>
      <c r="Y48" s="103" t="e">
        <f t="shared" ref="Y48:AN48" si="43">IF(0.293071*$E$48*$F$48*H48&gt;=0,0.293071*$E$48*$F$48*H48,-1*(0.293071*$E$48*$F$48*H48))</f>
        <v>#VALUE!</v>
      </c>
      <c r="Z48" s="103" t="e">
        <f t="shared" si="43"/>
        <v>#VALUE!</v>
      </c>
      <c r="AA48" s="103" t="e">
        <f t="shared" si="43"/>
        <v>#VALUE!</v>
      </c>
      <c r="AB48" s="103" t="e">
        <f t="shared" si="43"/>
        <v>#VALUE!</v>
      </c>
      <c r="AC48" s="103" t="e">
        <f t="shared" si="43"/>
        <v>#VALUE!</v>
      </c>
      <c r="AD48" s="103" t="e">
        <f t="shared" si="43"/>
        <v>#VALUE!</v>
      </c>
      <c r="AE48" s="103" t="e">
        <f t="shared" si="43"/>
        <v>#VALUE!</v>
      </c>
      <c r="AF48" s="103" t="e">
        <f t="shared" si="43"/>
        <v>#VALUE!</v>
      </c>
      <c r="AG48" s="103" t="e">
        <f t="shared" si="43"/>
        <v>#VALUE!</v>
      </c>
      <c r="AH48" s="103" t="e">
        <f t="shared" si="43"/>
        <v>#VALUE!</v>
      </c>
      <c r="AI48" s="103" t="e">
        <f t="shared" si="43"/>
        <v>#VALUE!</v>
      </c>
      <c r="AJ48" s="103" t="e">
        <f t="shared" si="43"/>
        <v>#VALUE!</v>
      </c>
      <c r="AK48" s="103" t="e">
        <f t="shared" si="43"/>
        <v>#VALUE!</v>
      </c>
      <c r="AL48" s="103" t="e">
        <f t="shared" si="43"/>
        <v>#VALUE!</v>
      </c>
      <c r="AM48" s="103" t="e">
        <f t="shared" si="43"/>
        <v>#VALUE!</v>
      </c>
      <c r="AN48" s="103" t="e">
        <f t="shared" si="43"/>
        <v>#VALUE!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03" t="s">
        <v>79</v>
      </c>
      <c r="H52" s="201"/>
      <c r="I52" s="201"/>
      <c r="J52" s="201"/>
      <c r="K52" s="201"/>
      <c r="L52" s="201"/>
      <c r="M52" s="201"/>
      <c r="N52" s="201"/>
      <c r="O52" s="201"/>
      <c r="P52" s="201"/>
      <c r="Q52" s="201"/>
      <c r="R52" s="201"/>
      <c r="S52" s="201"/>
      <c r="T52" s="201"/>
      <c r="U52" s="201"/>
      <c r="V52" s="201"/>
      <c r="W52" s="202"/>
      <c r="X52" s="204" t="s">
        <v>114</v>
      </c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203"/>
      <c r="AK52" s="203"/>
      <c r="AL52" s="203"/>
      <c r="AM52" s="203"/>
      <c r="AN52" s="205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03" t="s">
        <v>79</v>
      </c>
      <c r="H54" s="201"/>
      <c r="I54" s="201"/>
      <c r="J54" s="201"/>
      <c r="K54" s="201"/>
      <c r="L54" s="201"/>
      <c r="M54" s="201"/>
      <c r="N54" s="201"/>
      <c r="O54" s="201"/>
      <c r="P54" s="201"/>
      <c r="Q54" s="201"/>
      <c r="R54" s="201"/>
      <c r="S54" s="201"/>
      <c r="T54" s="201"/>
      <c r="U54" s="201"/>
      <c r="V54" s="201"/>
      <c r="W54" s="202"/>
      <c r="X54" s="204" t="s">
        <v>85</v>
      </c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203"/>
      <c r="AK54" s="203"/>
      <c r="AL54" s="203"/>
      <c r="AM54" s="203"/>
      <c r="AN54" s="205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8" t="s">
        <v>115</v>
      </c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203"/>
      <c r="AK57" s="203"/>
      <c r="AL57" s="203"/>
      <c r="AM57" s="203"/>
      <c r="AN57" s="205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>X48</f>
        <v>#VALUE!</v>
      </c>
      <c r="Y66" s="52" t="e">
        <f t="shared" ref="Y66:AN66" si="50">Y48</f>
        <v>#VALUE!</v>
      </c>
      <c r="Z66" s="52" t="e">
        <f t="shared" si="50"/>
        <v>#VALUE!</v>
      </c>
      <c r="AA66" s="52" t="e">
        <f t="shared" si="50"/>
        <v>#VALUE!</v>
      </c>
      <c r="AB66" s="52" t="e">
        <f t="shared" si="50"/>
        <v>#VALUE!</v>
      </c>
      <c r="AC66" s="52" t="e">
        <f t="shared" si="50"/>
        <v>#VALUE!</v>
      </c>
      <c r="AD66" s="52" t="e">
        <f t="shared" si="50"/>
        <v>#VALUE!</v>
      </c>
      <c r="AE66" s="52" t="e">
        <f t="shared" si="50"/>
        <v>#VALUE!</v>
      </c>
      <c r="AF66" s="52" t="e">
        <f t="shared" si="50"/>
        <v>#VALUE!</v>
      </c>
      <c r="AG66" s="52" t="e">
        <f t="shared" si="50"/>
        <v>#VALUE!</v>
      </c>
      <c r="AH66" s="52" t="e">
        <f t="shared" si="50"/>
        <v>#VALUE!</v>
      </c>
      <c r="AI66" s="52" t="e">
        <f t="shared" si="50"/>
        <v>#VALUE!</v>
      </c>
      <c r="AJ66" s="52" t="e">
        <f t="shared" si="50"/>
        <v>#VALUE!</v>
      </c>
      <c r="AK66" s="52" t="e">
        <f t="shared" si="50"/>
        <v>#VALUE!</v>
      </c>
      <c r="AL66" s="52" t="e">
        <f t="shared" si="50"/>
        <v>#VALUE!</v>
      </c>
      <c r="AM66" s="52" t="e">
        <f t="shared" si="50"/>
        <v>#VALUE!</v>
      </c>
      <c r="AN66" s="129" t="e">
        <f t="shared" si="50"/>
        <v>#VALUE!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>X66+X68</f>
        <v>#VALUE!</v>
      </c>
      <c r="Y70" s="52" t="e">
        <f t="shared" ref="Y70:AN70" si="52">Y66+Y68</f>
        <v>#VALUE!</v>
      </c>
      <c r="Z70" s="52" t="e">
        <f t="shared" si="52"/>
        <v>#VALUE!</v>
      </c>
      <c r="AA70" s="52" t="e">
        <f t="shared" si="52"/>
        <v>#VALUE!</v>
      </c>
      <c r="AB70" s="52" t="e">
        <f t="shared" si="52"/>
        <v>#VALUE!</v>
      </c>
      <c r="AC70" s="52" t="e">
        <f t="shared" si="52"/>
        <v>#VALUE!</v>
      </c>
      <c r="AD70" s="52" t="e">
        <f t="shared" si="52"/>
        <v>#VALUE!</v>
      </c>
      <c r="AE70" s="52" t="e">
        <f t="shared" si="52"/>
        <v>#VALUE!</v>
      </c>
      <c r="AF70" s="52" t="e">
        <f t="shared" si="52"/>
        <v>#VALUE!</v>
      </c>
      <c r="AG70" s="52" t="e">
        <f t="shared" si="52"/>
        <v>#VALUE!</v>
      </c>
      <c r="AH70" s="52" t="e">
        <f t="shared" si="52"/>
        <v>#VALUE!</v>
      </c>
      <c r="AI70" s="52" t="e">
        <f t="shared" si="52"/>
        <v>#VALUE!</v>
      </c>
      <c r="AJ70" s="52" t="e">
        <f t="shared" si="52"/>
        <v>#VALUE!</v>
      </c>
      <c r="AK70" s="52" t="e">
        <f t="shared" si="52"/>
        <v>#VALUE!</v>
      </c>
      <c r="AL70" s="52" t="e">
        <f t="shared" si="52"/>
        <v>#VALUE!</v>
      </c>
      <c r="AM70" s="52" t="e">
        <f t="shared" si="52"/>
        <v>#VALUE!</v>
      </c>
      <c r="AN70" s="129" t="e">
        <f t="shared" si="52"/>
        <v>#VALUE!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>X64+X70</f>
        <v>#N/A</v>
      </c>
      <c r="Y72" s="52" t="e">
        <f t="shared" ref="Y72:AN72" si="53">Y64+Y70</f>
        <v>#N/A</v>
      </c>
      <c r="Z72" s="52" t="e">
        <f t="shared" si="53"/>
        <v>#N/A</v>
      </c>
      <c r="AA72" s="52" t="e">
        <f t="shared" si="53"/>
        <v>#N/A</v>
      </c>
      <c r="AB72" s="52" t="e">
        <f t="shared" si="53"/>
        <v>#N/A</v>
      </c>
      <c r="AC72" s="52" t="e">
        <f t="shared" si="53"/>
        <v>#N/A</v>
      </c>
      <c r="AD72" s="52" t="e">
        <f t="shared" si="53"/>
        <v>#N/A</v>
      </c>
      <c r="AE72" s="52" t="e">
        <f t="shared" si="53"/>
        <v>#N/A</v>
      </c>
      <c r="AF72" s="52" t="e">
        <f t="shared" si="53"/>
        <v>#N/A</v>
      </c>
      <c r="AG72" s="52" t="e">
        <f t="shared" si="53"/>
        <v>#N/A</v>
      </c>
      <c r="AH72" s="52" t="e">
        <f t="shared" si="53"/>
        <v>#N/A</v>
      </c>
      <c r="AI72" s="52" t="e">
        <f t="shared" si="53"/>
        <v>#N/A</v>
      </c>
      <c r="AJ72" s="52" t="e">
        <f t="shared" si="53"/>
        <v>#N/A</v>
      </c>
      <c r="AK72" s="52" t="e">
        <f t="shared" si="53"/>
        <v>#N/A</v>
      </c>
      <c r="AL72" s="52" t="e">
        <f t="shared" si="53"/>
        <v>#N/A</v>
      </c>
      <c r="AM72" s="52" t="e">
        <f t="shared" si="53"/>
        <v>#N/A</v>
      </c>
      <c r="AN72" s="129" t="e">
        <f t="shared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>X64/X72</f>
        <v>#N/A</v>
      </c>
      <c r="Y74" s="52" t="e">
        <f t="shared" ref="Y74:AN74" si="54">Y64/Y72</f>
        <v>#N/A</v>
      </c>
      <c r="Z74" s="52" t="e">
        <f t="shared" si="54"/>
        <v>#N/A</v>
      </c>
      <c r="AA74" s="52" t="e">
        <f t="shared" si="54"/>
        <v>#N/A</v>
      </c>
      <c r="AB74" s="52" t="e">
        <f t="shared" si="54"/>
        <v>#N/A</v>
      </c>
      <c r="AC74" s="52" t="e">
        <f t="shared" si="54"/>
        <v>#N/A</v>
      </c>
      <c r="AD74" s="52" t="e">
        <f t="shared" si="54"/>
        <v>#N/A</v>
      </c>
      <c r="AE74" s="52" t="e">
        <f t="shared" si="54"/>
        <v>#N/A</v>
      </c>
      <c r="AF74" s="52" t="e">
        <f t="shared" si="54"/>
        <v>#N/A</v>
      </c>
      <c r="AG74" s="52" t="e">
        <f t="shared" si="54"/>
        <v>#N/A</v>
      </c>
      <c r="AH74" s="52" t="e">
        <f t="shared" si="54"/>
        <v>#N/A</v>
      </c>
      <c r="AI74" s="52" t="e">
        <f t="shared" si="54"/>
        <v>#N/A</v>
      </c>
      <c r="AJ74" s="52" t="e">
        <f t="shared" si="54"/>
        <v>#N/A</v>
      </c>
      <c r="AK74" s="52" t="e">
        <f t="shared" si="54"/>
        <v>#N/A</v>
      </c>
      <c r="AL74" s="52" t="e">
        <f t="shared" si="54"/>
        <v>#N/A</v>
      </c>
      <c r="AM74" s="52" t="e">
        <f t="shared" si="54"/>
        <v>#N/A</v>
      </c>
      <c r="AN74" s="129" t="e">
        <f t="shared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>IF(X72&gt;0,X72,0)</f>
        <v>#N/A</v>
      </c>
      <c r="Y76" s="131" t="e">
        <f t="shared" ref="Y76:AN76" si="55">IF(Y72&gt;0,Y72,0)</f>
        <v>#N/A</v>
      </c>
      <c r="Z76" s="131" t="e">
        <f t="shared" si="55"/>
        <v>#N/A</v>
      </c>
      <c r="AA76" s="131" t="e">
        <f t="shared" si="55"/>
        <v>#N/A</v>
      </c>
      <c r="AB76" s="131" t="e">
        <f t="shared" si="55"/>
        <v>#N/A</v>
      </c>
      <c r="AC76" s="131" t="e">
        <f t="shared" si="55"/>
        <v>#N/A</v>
      </c>
      <c r="AD76" s="131" t="e">
        <f t="shared" si="55"/>
        <v>#N/A</v>
      </c>
      <c r="AE76" s="131" t="e">
        <f t="shared" si="55"/>
        <v>#N/A</v>
      </c>
      <c r="AF76" s="131" t="e">
        <f t="shared" si="55"/>
        <v>#N/A</v>
      </c>
      <c r="AG76" s="131" t="e">
        <f t="shared" si="55"/>
        <v>#N/A</v>
      </c>
      <c r="AH76" s="131" t="e">
        <f t="shared" si="55"/>
        <v>#N/A</v>
      </c>
      <c r="AI76" s="131" t="e">
        <f t="shared" si="55"/>
        <v>#N/A</v>
      </c>
      <c r="AJ76" s="131" t="e">
        <f t="shared" si="55"/>
        <v>#N/A</v>
      </c>
      <c r="AK76" s="131" t="e">
        <f t="shared" si="55"/>
        <v>#N/A</v>
      </c>
      <c r="AL76" s="131" t="e">
        <f t="shared" si="55"/>
        <v>#N/A</v>
      </c>
      <c r="AM76" s="131" t="e">
        <f t="shared" si="55"/>
        <v>#N/A</v>
      </c>
      <c r="AN76" s="81" t="e">
        <f t="shared" si="55"/>
        <v>#N/A</v>
      </c>
    </row>
    <row r="78" spans="1:40" ht="15" thickBot="1" x14ac:dyDescent="0.35"/>
    <row r="79" spans="1:40" x14ac:dyDescent="0.3">
      <c r="B79" s="206" t="s">
        <v>216</v>
      </c>
      <c r="C79" s="197" t="e">
        <f>SUM(X76:AN76)</f>
        <v>#N/A</v>
      </c>
      <c r="D79" s="198"/>
      <c r="E79" s="133" t="s">
        <v>217</v>
      </c>
    </row>
    <row r="80" spans="1:40" x14ac:dyDescent="0.3">
      <c r="B80" s="207"/>
      <c r="C80" s="199" t="e">
        <f>C79/1000</f>
        <v>#N/A</v>
      </c>
      <c r="D80" s="199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190" t="e">
        <f>MAX(X76:AN76)/1000</f>
        <v>#N/A</v>
      </c>
      <c r="D81" s="191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0" t="s">
        <v>26</v>
      </c>
      <c r="AK1" s="210"/>
      <c r="AL1" s="210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0" t="s">
        <v>26</v>
      </c>
      <c r="AK15" s="210"/>
      <c r="AL15" s="210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0" t="s">
        <v>26</v>
      </c>
      <c r="AK29" s="210"/>
      <c r="AL29" s="210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/>
      <c r="D1" s="211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1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2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2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2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2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2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2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2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2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2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2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2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2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2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2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3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3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4" t="s">
        <v>190</v>
      </c>
      <c r="F13" s="91" t="s">
        <v>180</v>
      </c>
      <c r="G13" s="93" t="s">
        <v>191</v>
      </c>
    </row>
    <row r="14" spans="1:40" x14ac:dyDescent="0.3">
      <c r="D14" s="215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5"/>
      <c r="F15" s="94" t="s">
        <v>182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5"/>
      <c r="F16" s="94" t="s">
        <v>181</v>
      </c>
      <c r="G16" s="96" t="e">
        <f t="shared" si="0"/>
        <v>#N/A</v>
      </c>
    </row>
    <row r="17" spans="4:7" x14ac:dyDescent="0.3">
      <c r="D17" s="215"/>
      <c r="F17" s="94" t="s">
        <v>183</v>
      </c>
      <c r="G17" s="96" t="e">
        <f t="shared" si="0"/>
        <v>#N/A</v>
      </c>
    </row>
    <row r="18" spans="4:7" x14ac:dyDescent="0.3">
      <c r="D18" s="215"/>
      <c r="F18" s="94" t="s">
        <v>187</v>
      </c>
      <c r="G18" s="96" t="e">
        <f t="shared" si="0"/>
        <v>#N/A</v>
      </c>
    </row>
    <row r="19" spans="4:7" x14ac:dyDescent="0.3">
      <c r="D19" s="215"/>
      <c r="F19" s="94" t="s">
        <v>184</v>
      </c>
      <c r="G19" s="96" t="e">
        <f t="shared" si="0"/>
        <v>#N/A</v>
      </c>
    </row>
    <row r="20" spans="4:7" x14ac:dyDescent="0.3">
      <c r="D20" s="215"/>
      <c r="F20" s="94" t="s">
        <v>185</v>
      </c>
      <c r="G20" s="96" t="e">
        <f t="shared" si="0"/>
        <v>#N/A</v>
      </c>
    </row>
    <row r="21" spans="4:7" ht="15" thickBot="1" x14ac:dyDescent="0.35">
      <c r="D21" s="216"/>
      <c r="F21" s="97" t="s">
        <v>186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4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4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5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5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/>
      <c r="G3" s="215"/>
      <c r="I3" s="94" t="s">
        <v>182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5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/>
      <c r="G4" s="215"/>
      <c r="I4" s="94" t="s">
        <v>181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5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5"/>
      <c r="I5" s="94" t="s">
        <v>183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5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5"/>
      <c r="I6" s="94" t="s">
        <v>187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5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5"/>
      <c r="I7" s="94" t="s">
        <v>184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5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5"/>
      <c r="I8" s="94" t="s">
        <v>185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5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6"/>
      <c r="I9" s="97" t="s">
        <v>186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6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4" t="s">
        <v>209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4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5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5"/>
      <c r="AE13" s="122"/>
      <c r="AF13" s="220" t="s">
        <v>202</v>
      </c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2"/>
    </row>
    <row r="14" spans="1:48" x14ac:dyDescent="0.3">
      <c r="G14" s="215"/>
      <c r="I14" s="94" t="s">
        <v>182</v>
      </c>
      <c r="J14" s="124" t="e">
        <f t="shared" si="18"/>
        <v>#N/A</v>
      </c>
      <c r="AC14" s="215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5"/>
      <c r="I15" s="94" t="s">
        <v>181</v>
      </c>
      <c r="J15" s="124" t="e">
        <f t="shared" si="18"/>
        <v>#N/A</v>
      </c>
      <c r="AC15" s="215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5"/>
      <c r="I16" s="94" t="s">
        <v>183</v>
      </c>
      <c r="J16" s="124" t="e">
        <f t="shared" si="18"/>
        <v>#N/A</v>
      </c>
      <c r="AC16" s="215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5"/>
      <c r="I17" s="94" t="s">
        <v>187</v>
      </c>
      <c r="J17" s="124" t="e">
        <f t="shared" si="18"/>
        <v>#N/A</v>
      </c>
      <c r="AC17" s="215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5"/>
      <c r="I18" s="94" t="s">
        <v>184</v>
      </c>
      <c r="J18" s="124" t="e">
        <f t="shared" si="18"/>
        <v>#N/A</v>
      </c>
      <c r="AC18" s="215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5"/>
      <c r="I19" s="94" t="s">
        <v>185</v>
      </c>
      <c r="J19" s="124" t="e">
        <f t="shared" si="18"/>
        <v>#N/A</v>
      </c>
      <c r="AC19" s="215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6"/>
      <c r="I20" s="97" t="s">
        <v>186</v>
      </c>
      <c r="J20" s="125" t="e">
        <f t="shared" si="18"/>
        <v>#N/A</v>
      </c>
      <c r="AC20" s="215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6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7" t="s">
        <v>203</v>
      </c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9"/>
    </row>
    <row r="23" spans="7:48" x14ac:dyDescent="0.3">
      <c r="G23" s="214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5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5"/>
      <c r="I25" s="94" t="s">
        <v>182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5"/>
      <c r="I26" s="94" t="s">
        <v>181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5"/>
      <c r="I27" s="94" t="s">
        <v>183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5"/>
      <c r="I28" s="94" t="s">
        <v>187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5"/>
      <c r="I29" s="94" t="s">
        <v>184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5"/>
      <c r="I30" s="94" t="s">
        <v>185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6"/>
      <c r="I31" s="97" t="s">
        <v>186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7" t="s">
        <v>204</v>
      </c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9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7" t="s">
        <v>205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9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7" t="s">
        <v>206</v>
      </c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9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7" t="s">
        <v>207</v>
      </c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9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7" t="s">
        <v>208</v>
      </c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9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1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4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3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6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1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3"/>
      <c r="F5" s="111" t="s">
        <v>196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1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3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44" t="s">
        <v>247</v>
      </c>
      <c r="B1" s="245"/>
      <c r="C1" s="245"/>
      <c r="D1" s="245"/>
      <c r="E1" s="246"/>
      <c r="F1" s="140"/>
      <c r="G1" s="247" t="s">
        <v>232</v>
      </c>
      <c r="H1" s="247" t="s">
        <v>233</v>
      </c>
      <c r="I1" s="247" t="s">
        <v>234</v>
      </c>
      <c r="J1" s="247" t="s">
        <v>235</v>
      </c>
      <c r="K1" s="247" t="s">
        <v>236</v>
      </c>
      <c r="L1" s="247" t="s">
        <v>237</v>
      </c>
      <c r="N1" s="252" t="s">
        <v>238</v>
      </c>
      <c r="O1" s="239" t="s">
        <v>239</v>
      </c>
      <c r="P1" s="241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40"/>
      <c r="H2" s="240"/>
      <c r="I2" s="240"/>
      <c r="J2" s="240"/>
      <c r="K2" s="240"/>
      <c r="L2" s="240"/>
      <c r="N2" s="253"/>
      <c r="O2" s="240"/>
      <c r="P2" s="242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43" t="s">
        <v>243</v>
      </c>
      <c r="O6" s="228"/>
      <c r="P6" s="160">
        <f>ROUND(SUM(P3:P5),3)</f>
        <v>1</v>
      </c>
    </row>
    <row r="7" spans="1:16" x14ac:dyDescent="0.3">
      <c r="A7" s="248" t="s">
        <v>237</v>
      </c>
      <c r="B7" s="249"/>
      <c r="C7" s="250" t="str">
        <f>L4</f>
        <v>Acceptable</v>
      </c>
      <c r="D7" s="251"/>
      <c r="E7" s="249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44" t="s">
        <v>248</v>
      </c>
      <c r="B11" s="245"/>
      <c r="C11" s="245"/>
      <c r="D11" s="245"/>
      <c r="E11" s="246"/>
      <c r="F11" s="140"/>
      <c r="G11" s="247" t="s">
        <v>232</v>
      </c>
      <c r="H11" s="247" t="s">
        <v>233</v>
      </c>
      <c r="I11" s="247" t="s">
        <v>234</v>
      </c>
      <c r="J11" s="247" t="s">
        <v>235</v>
      </c>
      <c r="K11" s="247" t="s">
        <v>236</v>
      </c>
      <c r="L11" s="247" t="s">
        <v>237</v>
      </c>
      <c r="N11" s="252" t="s">
        <v>238</v>
      </c>
      <c r="O11" s="239" t="s">
        <v>239</v>
      </c>
      <c r="P11" s="241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40"/>
      <c r="H12" s="240"/>
      <c r="I12" s="240"/>
      <c r="J12" s="240"/>
      <c r="K12" s="240"/>
      <c r="L12" s="240"/>
      <c r="N12" s="253"/>
      <c r="O12" s="240"/>
      <c r="P12" s="242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43" t="s">
        <v>243</v>
      </c>
      <c r="O16" s="228"/>
      <c r="P16" s="160">
        <f>ROUND(SUM(P13:P15),3)</f>
        <v>1</v>
      </c>
    </row>
    <row r="17" spans="1:17" x14ac:dyDescent="0.3">
      <c r="A17" s="248" t="s">
        <v>237</v>
      </c>
      <c r="B17" s="249"/>
      <c r="C17" s="250" t="str">
        <f>L14</f>
        <v>Acceptable</v>
      </c>
      <c r="D17" s="251"/>
      <c r="E17" s="249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36" t="s">
        <v>253</v>
      </c>
      <c r="B21" s="237"/>
      <c r="C21" s="237"/>
      <c r="D21" s="237"/>
      <c r="E21" s="237"/>
      <c r="F21" s="238"/>
      <c r="G21" s="162"/>
      <c r="H21" s="229" t="s">
        <v>232</v>
      </c>
      <c r="I21" s="229" t="s">
        <v>233</v>
      </c>
      <c r="J21" s="229" t="s">
        <v>234</v>
      </c>
      <c r="K21" s="229" t="s">
        <v>235</v>
      </c>
      <c r="L21" s="229" t="s">
        <v>236</v>
      </c>
      <c r="M21" s="229" t="s">
        <v>237</v>
      </c>
      <c r="O21" s="234" t="s">
        <v>238</v>
      </c>
      <c r="P21" s="223" t="s">
        <v>239</v>
      </c>
      <c r="Q21" s="225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24"/>
      <c r="I22" s="224"/>
      <c r="J22" s="224"/>
      <c r="K22" s="224"/>
      <c r="L22" s="224"/>
      <c r="M22" s="224"/>
      <c r="O22" s="235"/>
      <c r="P22" s="224"/>
      <c r="Q22" s="226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27" t="s">
        <v>243</v>
      </c>
      <c r="P27" s="228"/>
      <c r="Q27" s="183">
        <f>ROUND(SUM(Q23:Q26),3)</f>
        <v>1</v>
      </c>
    </row>
    <row r="28" spans="1:17" x14ac:dyDescent="0.3">
      <c r="A28" s="230" t="s">
        <v>237</v>
      </c>
      <c r="B28" s="231"/>
      <c r="C28" s="232" t="str">
        <f>M24</f>
        <v>Acceptable</v>
      </c>
      <c r="D28" s="233"/>
      <c r="E28" s="233"/>
      <c r="F28" s="231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4" t="s">
        <v>254</v>
      </c>
      <c r="B1" s="255"/>
      <c r="C1" s="255"/>
      <c r="D1" s="256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/>
      <c r="C3" s="56"/>
      <c r="D3" s="25"/>
    </row>
    <row r="4" spans="1:4" x14ac:dyDescent="0.3">
      <c r="A4" s="24" t="s">
        <v>258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259</v>
      </c>
      <c r="B5" s="56"/>
      <c r="C5" s="56"/>
      <c r="D5" s="25"/>
    </row>
    <row r="6" spans="1:4" ht="15" thickBot="1" x14ac:dyDescent="0.35">
      <c r="A6" s="130" t="s">
        <v>260</v>
      </c>
      <c r="B6" s="131"/>
      <c r="C6" s="131"/>
      <c r="D6" s="81"/>
    </row>
    <row r="8" spans="1:4" ht="15" thickBot="1" x14ac:dyDescent="0.35"/>
    <row r="9" spans="1:4" x14ac:dyDescent="0.3">
      <c r="A9" s="254" t="s">
        <v>261</v>
      </c>
      <c r="B9" s="255"/>
      <c r="C9" s="255"/>
      <c r="D9" s="256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258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259</v>
      </c>
      <c r="B13" s="56"/>
      <c r="C13" s="56"/>
      <c r="D13" s="25"/>
    </row>
    <row r="14" spans="1:4" ht="15" thickBot="1" x14ac:dyDescent="0.35">
      <c r="A14" s="130" t="s">
        <v>260</v>
      </c>
      <c r="B14" s="131"/>
      <c r="C14" s="131"/>
      <c r="D14" s="81"/>
    </row>
    <row r="16" spans="1:4" ht="15" thickBot="1" x14ac:dyDescent="0.35"/>
    <row r="17" spans="1:5" x14ac:dyDescent="0.3">
      <c r="A17" s="254" t="s">
        <v>262</v>
      </c>
      <c r="B17" s="255"/>
      <c r="C17" s="255"/>
      <c r="D17" s="255"/>
      <c r="E17" s="256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0</v>
      </c>
      <c r="C19" s="56"/>
      <c r="D19" s="56"/>
      <c r="E19" s="25"/>
    </row>
    <row r="20" spans="1:5" x14ac:dyDescent="0.3">
      <c r="A20" s="24" t="s">
        <v>258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259</v>
      </c>
      <c r="B21" s="56"/>
      <c r="C21" s="56"/>
      <c r="D21" s="56"/>
      <c r="E21" s="25"/>
    </row>
    <row r="22" spans="1:5" ht="15" thickBot="1" x14ac:dyDescent="0.35">
      <c r="A22" s="130" t="s">
        <v>260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7" t="s">
        <v>265</v>
      </c>
      <c r="B3" s="258"/>
      <c r="C3" s="258"/>
      <c r="D3" s="25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259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7" t="s">
        <v>266</v>
      </c>
      <c r="B18" s="258"/>
      <c r="C18" s="258"/>
      <c r="D18" s="258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25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7" t="s">
        <v>267</v>
      </c>
      <c r="B33" s="258"/>
      <c r="C33" s="258"/>
      <c r="D33" s="258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259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2022-03-22T15:32:59Z</dcterms:modified>
</cp:coreProperties>
</file>