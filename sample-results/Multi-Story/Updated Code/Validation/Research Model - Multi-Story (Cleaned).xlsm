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Validation Excel\Validation 2\"/>
    </mc:Choice>
  </mc:AlternateContent>
  <xr:revisionPtr revIDLastSave="0" documentId="13_ncr:1_{FA51D4AA-E29C-4BD1-8647-6C052E268202}" xr6:coauthVersionLast="47" xr6:coauthVersionMax="47" xr10:uidLastSave="{00000000-0000-0000-0000-000000000000}"/>
  <bookViews>
    <workbookView xWindow="-108" yWindow="-108" windowWidth="23256" windowHeight="12576" tabRatio="694" firstSheet="1" activeTab="5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Alternative_Materials" sheetId="6" r:id="rId7"/>
    <sheet name="City_Details" sheetId="2" r:id="rId8"/>
    <sheet name="Window" sheetId="3" r:id="rId9"/>
    <sheet name="Wall" sheetId="4" r:id="rId10"/>
    <sheet name="Roof" sheetId="5" r:id="rId11"/>
    <sheet name="AHP" sheetId="7" r:id="rId12"/>
    <sheet name="TOPSIS" sheetId="8" r:id="rId13"/>
    <sheet name="Orientation" sheetId="9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S48" i="1"/>
  <c r="T48" i="1"/>
  <c r="P48" i="1"/>
  <c r="Q48" i="1"/>
  <c r="V48" i="1"/>
  <c r="O48" i="1"/>
  <c r="G48" i="1"/>
  <c r="U48" i="1"/>
  <c r="I48" i="1"/>
  <c r="M48" i="1"/>
  <c r="J48" i="1"/>
  <c r="K48" i="1"/>
  <c r="H48" i="1"/>
  <c r="R48" i="1"/>
  <c r="N48" i="1"/>
  <c r="L48" i="1"/>
  <c r="W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Z48" i="1"/>
  <c r="Z66" i="1" s="1"/>
  <c r="Y48" i="1"/>
  <c r="Y66" i="1" s="1"/>
  <c r="Y70" i="1" s="1"/>
  <c r="Y72" i="1" s="1"/>
  <c r="AA48" i="1"/>
  <c r="AA66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G70" i="1" l="1"/>
  <c r="AG72" i="1" s="1"/>
  <c r="AN48" i="1"/>
  <c r="AN66" i="1" s="1"/>
  <c r="AN70" i="1" s="1"/>
  <c r="AN72" i="1" s="1"/>
  <c r="AN76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/>
  <c r="AG74" i="1"/>
  <c r="Y76" i="1"/>
  <c r="Y74" i="1"/>
  <c r="AN74" i="1"/>
  <c r="AF74" i="1"/>
  <c r="AD76" i="1" l="1"/>
  <c r="AJ74" i="1"/>
  <c r="AK74" i="1"/>
  <c r="AC74" i="1"/>
  <c r="AI74" i="1"/>
  <c r="AA76" i="1"/>
  <c r="AB76" i="1"/>
  <c r="X74" i="1"/>
  <c r="AE76" i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<sst xmlns="http://schemas.openxmlformats.org/spreadsheetml/2006/main" count="1253" uniqueCount="285">
  <si>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</si>
  <si>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</si>
  <si>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</si>
  <si>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</si>
  <si>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</si>
  <si>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</si>
  <si>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</si>
  <si>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</si>
  <si>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</si>
  <si>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</si>
  <si>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</si>
  <si>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</si>
  <si>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</si>
  <si>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</si>
  <si>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</si>
  <si>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</si>
  <si>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</si>
  <si>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</si>
  <si>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</si>
  <si>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</si>
  <si>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</si>
  <si>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</si>
  <si>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</si>
  <si>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</si>
  <si>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</si>
  <si>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</si>
  <si>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</si>
  <si>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</si>
  <si>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</si>
  <si>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</si>
  <si>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</si>
  <si>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</si>
  <si>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</si>
  <si>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</si>
  <si>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</si>
  <si>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</si>
  <si>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</si>
  <si>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</si>
  <si>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</si>
  <si>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</si>
  <si>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</si>
  <si>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</si>
  <si>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</si>
  <si>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</si>
  <si>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</si>
  <si>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</si>
  <si>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</si>
  <si>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</si>
  <si>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</si>
  <si>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</si>
  <si>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</si>
  <si>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</si>
  <si>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</si>
  <si>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</si>
  <si>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</si>
  <si>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</si>
  <si>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</si>
  <si>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</si>
  <si>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</si>
  <si>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</si>
  <si>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</si>
  <si>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</si>
  <si>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</si>
  <si>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</si>
  <si>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</si>
  <si>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</si>
  <si>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</si>
  <si>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</si>
  <si>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</si>
  <si>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</si>
  <si>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</si>
  <si>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</si>
  <si>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</si>
  <si>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</si>
  <si>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</si>
  <si>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</si>
  <si>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</si>
  <si>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</si>
  <si>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</si>
  <si>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</si>
  <si>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</si>
  <si>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</si>
  <si>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</si>
  <si>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</si>
  <si>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</si>
  <si>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</si>
  <si>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</si>
  <si>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</si>
  <si>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</si>
  <si>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</si>
  <si>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</si>
  <si>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</si>
  <si>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</si>
  <si>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</si>
  <si>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</si>
  <si>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</si>
  <si>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</si>
  <si>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</si>
  <si>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</si>
  <si>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</si>
  <si>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</si>
  <si>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</si>
  <si>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</si>
  <si>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</si>
  <si>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</si>
  <si>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</si>
  <si>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</si>
  <si>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</si>
  <si>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</si>
  <si>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</si>
  <si>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</si>
  <si>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</si>
  <si>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</si>
  <si>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</si>
  <si>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</si>
  <si>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</si>
  <si>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</si>
  <si>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</si>
  <si>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</si>
  <si>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</si>
  <si>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</si>
  <si>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</si>
  <si>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</si>
  <si>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</si>
  <si>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</si>
  <si>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</si>
  <si>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</si>
  <si>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</si>
  <si>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</si>
  <si>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</si>
  <si>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</si>
  <si>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</si>
  <si>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</si>
  <si>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</si>
  <si>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</si>
  <si>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</si>
  <si>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</si>
  <si>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</si>
  <si>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</si>
  <si>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</si>
  <si>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</si>
  <si>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</si>
  <si>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</si>
  <si>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D</t>
  </si>
  <si>
    <t>F</t>
  </si>
  <si>
    <t>Window Name</t>
  </si>
  <si>
    <t>Shading Coefficient</t>
  </si>
  <si>
    <t>Window 1</t>
  </si>
  <si>
    <t>Window 2</t>
  </si>
  <si>
    <t>Door Name</t>
  </si>
  <si>
    <t>Floor Name</t>
  </si>
  <si>
    <t>Door 1</t>
  </si>
  <si>
    <t>Floor 1</t>
  </si>
  <si>
    <t>Roof Name</t>
  </si>
  <si>
    <t>4In L.W. Concrete</t>
  </si>
  <si>
    <t>2In H.W. Concrete with 1In. Insulation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</si>
  <si>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</si>
  <si>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</si>
  <si>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</si>
  <si>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</si>
  <si>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</si>
  <si>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</si>
  <si>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</si>
  <si>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</si>
  <si>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</si>
  <si>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</si>
  <si>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</si>
  <si>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</si>
  <si>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</si>
  <si>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</si>
  <si>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</si>
  <si>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</si>
  <si>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</si>
  <si>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</si>
  <si>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</si>
  <si>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</si>
  <si>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</si>
  <si>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</si>
  <si>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</si>
  <si>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</si>
  <si>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</si>
  <si>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</si>
  <si>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</si>
  <si>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</si>
  <si>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</si>
  <si>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</si>
  <si>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</si>
  <si>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</si>
  <si>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</si>
  <si>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</si>
  <si>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</si>
  <si>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</si>
  <si>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</si>
  <si>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</si>
  <si>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</si>
  <si>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</si>
  <si>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</si>
  <si>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</si>
  <si>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</si>
  <si>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</si>
  <si>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</si>
  <si>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</si>
  <si>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</si>
  <si>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</si>
  <si>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</si>
  <si>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</si>
  <si>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</si>
  <si>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</si>
  <si>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</si>
  <si>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</si>
  <si>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</si>
  <si>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</si>
  <si>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</si>
  <si>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</si>
  <si>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</si>
  <si>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</si>
  <si>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</si>
  <si>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</si>
  <si>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</si>
  <si>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</si>
  <si>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</si>
  <si>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</si>
  <si>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</si>
  <si>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</si>
  <si>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</si>
  <si>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</si>
  <si>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</si>
  <si>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</si>
  <si>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</si>
  <si>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</si>
  <si>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</si>
  <si>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</si>
  <si>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</si>
  <si>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</si>
  <si>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</si>
  <si>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</si>
  <si>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</si>
  <si>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</si>
  <si>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</si>
  <si>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</si>
  <si>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</si>
  <si>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</si>
  <si>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</si>
  <si>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</si>
  <si>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</si>
  <si>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</si>
  <si>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</si>
  <si>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</si>
  <si>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</si>
  <si>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</si>
  <si>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</si>
  <si>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</si>
  <si>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</si>
  <si>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</si>
  <si>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</si>
  <si>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</si>
  <si>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</si>
  <si>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</si>
  <si>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</si>
  <si>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</si>
  <si>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</si>
  <si>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</si>
  <si>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</si>
  <si>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</si>
  <si>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</si>
  <si>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</si>
  <si>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</si>
  <si>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</si>
  <si>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</si>
  <si>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</si>
  <si>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</si>
  <si>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</si>
  <si>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</si>
  <si>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</si>
  <si>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</si>
  <si>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</si>
  <si>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</si>
  <si>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</si>
  <si>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</si>
  <si>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</si>
  <si>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Vector(X = 0.000, Y = 1.000, Z = 0.000, Length = 1.000)</t>
  </si>
  <si>
    <t>Vector(X = 1.000, Y = 0.000, Z = 0.000, Length = 1.000)</t>
  </si>
  <si>
    <t>Vector(X = -1.000, Y = 0.000, Z = 0.000, Length = 1.000)</t>
  </si>
  <si>
    <t>Vector(X = 0.000, Y = -1.000, Z = 0.000, Length = 1.000)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</si>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</sst>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Inconsolata"/>
    </font>
    <font>
      <sz val="8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0" fillId="0" borderId="8" xfId="0" applyBorder="1"/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10" fillId="12" borderId="42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4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C8"/>
  <sheetViews>
    <sheetView workbookViewId="0"/>
  </sheetViews>
  <sheetFormatPr defaultRowHeight="14.4" x14ac:dyDescent="0.3"/>
  <sheetData>
    <row r="1" spans="1:3" x14ac:dyDescent="0.3">
      <c r="A1" t="s">
        <v>262</v>
      </c>
      <c r="B1" t="s">
        <v>263</v>
      </c>
      <c r="C1" t="s">
        <v>264</v>
      </c>
    </row>
    <row r="3" spans="1:3" x14ac:dyDescent="0.3">
      <c r="A3">
        <v>1</v>
      </c>
      <c r="B3">
        <v>0.91</v>
      </c>
      <c r="C3">
        <v>2.11</v>
      </c>
    </row>
    <row r="4" spans="1:3" x14ac:dyDescent="0.3">
      <c r="A4">
        <v>1</v>
      </c>
      <c r="B4">
        <v>2</v>
      </c>
      <c r="C4">
        <v>2.11</v>
      </c>
    </row>
    <row r="5" spans="1:3" x14ac:dyDescent="0.3">
      <c r="A5">
        <v>1</v>
      </c>
      <c r="B5">
        <v>0.91</v>
      </c>
      <c r="C5">
        <v>2.11</v>
      </c>
    </row>
    <row r="6" spans="1:3" x14ac:dyDescent="0.3">
      <c r="A6">
        <v>1</v>
      </c>
      <c r="B6">
        <v>2</v>
      </c>
      <c r="C6">
        <v>2.11</v>
      </c>
    </row>
    <row r="7" spans="1:3" x14ac:dyDescent="0.3">
      <c r="A7">
        <v>1</v>
      </c>
      <c r="B7">
        <v>2</v>
      </c>
      <c r="C7">
        <v>2.11</v>
      </c>
    </row>
    <row r="8" spans="1:3" x14ac:dyDescent="0.3">
      <c r="A8">
        <v>1</v>
      </c>
      <c r="B8">
        <v>0.91</v>
      </c>
      <c r="C8">
        <v>2.11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B14"/>
  <sheetViews>
    <sheetView workbookViewId="0"/>
  </sheetViews>
  <sheetFormatPr defaultRowHeight="14.4" x14ac:dyDescent="0.3"/>
  <sheetData>
    <row r="1" spans="1:2" x14ac:dyDescent="0.3">
      <c r="A1" t="s">
        <v>266</v>
      </c>
      <c r="B1" t="s">
        <v>267</v>
      </c>
    </row>
    <row r="3" spans="1:2" x14ac:dyDescent="0.3">
      <c r="A3" t="s">
        <v>268</v>
      </c>
      <c r="B3">
        <v>0.2</v>
      </c>
    </row>
    <row r="4" spans="1:2" x14ac:dyDescent="0.3">
      <c r="A4" t="s">
        <v>269</v>
      </c>
      <c r="B4">
        <v>4.2</v>
      </c>
    </row>
    <row r="5" spans="1:2" x14ac:dyDescent="0.3">
      <c r="A5" t="s">
        <v>270</v>
      </c>
      <c r="B5">
        <v>7.2</v>
      </c>
    </row>
    <row r="6" spans="1:2" x14ac:dyDescent="0.3">
      <c r="A6" t="s">
        <v>271</v>
      </c>
      <c r="B6">
        <v>10.7</v>
      </c>
    </row>
    <row r="7" spans="1:2" x14ac:dyDescent="0.3">
      <c r="A7" t="s">
        <v>272</v>
      </c>
      <c r="B7">
        <v>13.7</v>
      </c>
    </row>
    <row r="8" spans="1:2" x14ac:dyDescent="0.3">
      <c r="A8" t="s">
        <v>273</v>
      </c>
      <c r="B8">
        <v>16.7</v>
      </c>
    </row>
    <row r="9" spans="1:2" x14ac:dyDescent="0.3">
      <c r="A9" t="s">
        <v>274</v>
      </c>
      <c r="B9">
        <v>19.7</v>
      </c>
    </row>
    <row r="10" spans="1:2" x14ac:dyDescent="0.3">
      <c r="A10" t="s">
        <v>275</v>
      </c>
      <c r="B10">
        <v>22.7</v>
      </c>
    </row>
    <row r="11" spans="1:2" x14ac:dyDescent="0.3">
      <c r="A11" t="s">
        <v>276</v>
      </c>
      <c r="B11">
        <v>25.7</v>
      </c>
    </row>
    <row r="12" spans="1:2" x14ac:dyDescent="0.3">
      <c r="A12" t="s">
        <v>277</v>
      </c>
      <c r="B12">
        <v>28.7</v>
      </c>
    </row>
    <row r="13" spans="1:2" x14ac:dyDescent="0.3">
      <c r="A13" t="s">
        <v>278</v>
      </c>
      <c r="B13">
        <v>32.270000000000003</v>
      </c>
    </row>
    <row r="14" spans="1:2" x14ac:dyDescent="0.3">
      <c r="A14" t="s">
        <v>279</v>
      </c>
      <c r="B14">
        <v>-3.6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B13"/>
  <sheetViews>
    <sheetView workbookViewId="0"/>
  </sheetViews>
  <sheetFormatPr defaultRowHeight="14.4" x14ac:dyDescent="0.3"/>
  <sheetData>
    <row r="1" spans="1:2" x14ac:dyDescent="0.3">
      <c r="A1" t="s">
        <v>262</v>
      </c>
      <c r="B1" t="s">
        <v>265</v>
      </c>
    </row>
    <row r="3" spans="1:2" x14ac:dyDescent="0.3">
      <c r="A3">
        <v>1</v>
      </c>
      <c r="B3">
        <v>1092.92</v>
      </c>
    </row>
    <row r="4" spans="1:2" x14ac:dyDescent="0.3">
      <c r="A4">
        <v>1</v>
      </c>
      <c r="B4">
        <v>1092.92</v>
      </c>
    </row>
    <row r="5" spans="1:2" x14ac:dyDescent="0.3">
      <c r="A5">
        <v>1</v>
      </c>
      <c r="B5">
        <v>1082.48</v>
      </c>
    </row>
    <row r="6" spans="1:2" x14ac:dyDescent="0.3">
      <c r="A6">
        <v>1</v>
      </c>
      <c r="B6">
        <v>1082.48</v>
      </c>
    </row>
    <row r="7" spans="1:2" x14ac:dyDescent="0.3">
      <c r="A7">
        <v>1</v>
      </c>
      <c r="B7">
        <v>1082.48</v>
      </c>
    </row>
    <row r="8" spans="1:2" x14ac:dyDescent="0.3">
      <c r="A8">
        <v>1</v>
      </c>
      <c r="B8">
        <v>1082.48</v>
      </c>
    </row>
    <row r="9" spans="1:2" x14ac:dyDescent="0.3">
      <c r="A9">
        <v>1</v>
      </c>
      <c r="B9">
        <v>1082.48</v>
      </c>
    </row>
    <row r="10" spans="1:2" x14ac:dyDescent="0.3">
      <c r="A10">
        <v>1</v>
      </c>
      <c r="B10">
        <v>1082.48</v>
      </c>
    </row>
    <row r="11" spans="1:2" x14ac:dyDescent="0.3">
      <c r="A11">
        <v>1</v>
      </c>
      <c r="B11">
        <v>1092.92</v>
      </c>
    </row>
    <row r="12" spans="1:2" x14ac:dyDescent="0.3">
      <c r="A12">
        <v>1</v>
      </c>
      <c r="B12">
        <v>1118.42</v>
      </c>
    </row>
    <row r="13" spans="1:2" x14ac:dyDescent="0.3">
      <c r="A13">
        <v>1</v>
      </c>
      <c r="B13">
        <v>1116.71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E126"/>
  <sheetViews>
    <sheetView workbookViewId="0"/>
  </sheetViews>
  <sheetFormatPr defaultRowHeight="14.4" x14ac:dyDescent="0.3"/>
  <sheetData>
    <row r="1" spans="1:5" x14ac:dyDescent="0.3">
      <c r="A1" t="s">
        <v>262</v>
      </c>
      <c r="B1" t="s">
        <v>265</v>
      </c>
    </row>
    <row r="3" spans="1:5" x14ac:dyDescent="0.3">
      <c r="A3">
        <v>1</v>
      </c>
      <c r="B3">
        <v>112.6</v>
      </c>
      <c r="C3" t="s">
        <v>280</v>
      </c>
      <c r="E3">
        <v>0</v>
      </c>
    </row>
    <row r="4" spans="1:5" x14ac:dyDescent="0.3">
      <c r="A4">
        <v>1</v>
      </c>
      <c r="B4">
        <v>19.07</v>
      </c>
      <c r="C4" t="s">
        <v>281</v>
      </c>
    </row>
    <row r="5" spans="1:5" x14ac:dyDescent="0.3">
      <c r="A5">
        <v>1</v>
      </c>
      <c r="B5">
        <v>23.21</v>
      </c>
      <c r="C5" t="s">
        <v>282</v>
      </c>
    </row>
    <row r="6" spans="1:5" x14ac:dyDescent="0.3">
      <c r="A6">
        <v>1</v>
      </c>
      <c r="B6">
        <v>2.79</v>
      </c>
      <c r="C6" t="s">
        <v>280</v>
      </c>
    </row>
    <row r="7" spans="1:5" x14ac:dyDescent="0.3">
      <c r="A7">
        <v>1</v>
      </c>
      <c r="B7">
        <v>23.62</v>
      </c>
      <c r="C7" t="s">
        <v>282</v>
      </c>
    </row>
    <row r="8" spans="1:5" x14ac:dyDescent="0.3">
      <c r="A8">
        <v>1</v>
      </c>
      <c r="B8">
        <v>4.5599999999999996</v>
      </c>
      <c r="C8" t="s">
        <v>282</v>
      </c>
    </row>
    <row r="9" spans="1:5" x14ac:dyDescent="0.3">
      <c r="A9">
        <v>1</v>
      </c>
      <c r="B9">
        <v>2.79</v>
      </c>
      <c r="C9" t="s">
        <v>283</v>
      </c>
    </row>
    <row r="10" spans="1:5" x14ac:dyDescent="0.3">
      <c r="A10">
        <v>1</v>
      </c>
      <c r="B10">
        <v>2.77</v>
      </c>
      <c r="C10" t="s">
        <v>283</v>
      </c>
    </row>
    <row r="11" spans="1:5" x14ac:dyDescent="0.3">
      <c r="A11">
        <v>1</v>
      </c>
      <c r="B11">
        <v>4.5599999999999996</v>
      </c>
      <c r="C11" t="s">
        <v>281</v>
      </c>
    </row>
    <row r="12" spans="1:5" x14ac:dyDescent="0.3">
      <c r="A12">
        <v>1</v>
      </c>
      <c r="B12">
        <v>2.77</v>
      </c>
      <c r="C12" t="s">
        <v>280</v>
      </c>
    </row>
    <row r="13" spans="1:5" x14ac:dyDescent="0.3">
      <c r="A13">
        <v>1</v>
      </c>
      <c r="B13">
        <v>20.09</v>
      </c>
      <c r="C13" t="s">
        <v>281</v>
      </c>
    </row>
    <row r="14" spans="1:5" x14ac:dyDescent="0.3">
      <c r="A14">
        <v>1</v>
      </c>
      <c r="B14">
        <v>158.55000000000001</v>
      </c>
      <c r="C14" t="s">
        <v>280</v>
      </c>
    </row>
    <row r="15" spans="1:5" x14ac:dyDescent="0.3">
      <c r="A15">
        <v>1</v>
      </c>
      <c r="B15">
        <v>28.64</v>
      </c>
      <c r="C15" t="s">
        <v>281</v>
      </c>
    </row>
    <row r="16" spans="1:5" x14ac:dyDescent="0.3">
      <c r="A16">
        <v>1</v>
      </c>
      <c r="B16">
        <v>39.4</v>
      </c>
      <c r="C16" t="s">
        <v>283</v>
      </c>
    </row>
    <row r="17" spans="1:3" x14ac:dyDescent="0.3">
      <c r="A17">
        <v>1</v>
      </c>
      <c r="B17">
        <v>34.79</v>
      </c>
      <c r="C17" t="s">
        <v>282</v>
      </c>
    </row>
    <row r="18" spans="1:3" x14ac:dyDescent="0.3">
      <c r="A18">
        <v>1</v>
      </c>
      <c r="B18">
        <v>3.72</v>
      </c>
      <c r="C18" t="s">
        <v>283</v>
      </c>
    </row>
    <row r="19" spans="1:3" x14ac:dyDescent="0.3">
      <c r="A19">
        <v>1</v>
      </c>
      <c r="B19">
        <v>33.46</v>
      </c>
      <c r="C19" t="s">
        <v>282</v>
      </c>
    </row>
    <row r="20" spans="1:3" x14ac:dyDescent="0.3">
      <c r="A20">
        <v>1</v>
      </c>
      <c r="B20">
        <v>6.08</v>
      </c>
      <c r="C20" t="s">
        <v>282</v>
      </c>
    </row>
    <row r="21" spans="1:3" x14ac:dyDescent="0.3">
      <c r="A21">
        <v>1</v>
      </c>
      <c r="B21">
        <v>3.72</v>
      </c>
      <c r="C21" t="s">
        <v>280</v>
      </c>
    </row>
    <row r="22" spans="1:3" x14ac:dyDescent="0.3">
      <c r="A22">
        <v>1</v>
      </c>
      <c r="B22">
        <v>3.69</v>
      </c>
      <c r="C22" t="s">
        <v>283</v>
      </c>
    </row>
    <row r="23" spans="1:3" x14ac:dyDescent="0.3">
      <c r="A23">
        <v>1</v>
      </c>
      <c r="B23">
        <v>6.08</v>
      </c>
      <c r="C23" t="s">
        <v>281</v>
      </c>
    </row>
    <row r="24" spans="1:3" x14ac:dyDescent="0.3">
      <c r="A24">
        <v>1</v>
      </c>
      <c r="B24">
        <v>3.69</v>
      </c>
      <c r="C24" t="s">
        <v>280</v>
      </c>
    </row>
    <row r="25" spans="1:3" x14ac:dyDescent="0.3">
      <c r="A25">
        <v>1</v>
      </c>
      <c r="B25">
        <v>28.66</v>
      </c>
      <c r="C25" t="s">
        <v>281</v>
      </c>
    </row>
    <row r="26" spans="1:3" x14ac:dyDescent="0.3">
      <c r="A26">
        <v>1</v>
      </c>
      <c r="B26">
        <v>5.65</v>
      </c>
      <c r="C26" t="s">
        <v>281</v>
      </c>
    </row>
    <row r="27" spans="1:3" x14ac:dyDescent="0.3">
      <c r="A27">
        <v>1</v>
      </c>
      <c r="B27">
        <v>4.3499999999999996</v>
      </c>
      <c r="C27" t="s">
        <v>281</v>
      </c>
    </row>
    <row r="28" spans="1:3" x14ac:dyDescent="0.3">
      <c r="A28">
        <v>1</v>
      </c>
      <c r="B28">
        <v>60.5</v>
      </c>
      <c r="C28" t="s">
        <v>283</v>
      </c>
    </row>
    <row r="29" spans="1:3" x14ac:dyDescent="0.3">
      <c r="A29">
        <v>1</v>
      </c>
      <c r="B29">
        <v>40.6</v>
      </c>
      <c r="C29" t="s">
        <v>283</v>
      </c>
    </row>
    <row r="30" spans="1:3" x14ac:dyDescent="0.3">
      <c r="A30">
        <v>1</v>
      </c>
      <c r="B30">
        <v>115.17</v>
      </c>
      <c r="C30" t="s">
        <v>283</v>
      </c>
    </row>
    <row r="31" spans="1:3" x14ac:dyDescent="0.3">
      <c r="A31">
        <v>1</v>
      </c>
      <c r="B31">
        <v>139.21</v>
      </c>
      <c r="C31" t="s">
        <v>280</v>
      </c>
    </row>
    <row r="32" spans="1:3" x14ac:dyDescent="0.3">
      <c r="A32">
        <v>1</v>
      </c>
      <c r="B32">
        <v>23.85</v>
      </c>
      <c r="C32" t="s">
        <v>281</v>
      </c>
    </row>
    <row r="33" spans="1:3" x14ac:dyDescent="0.3">
      <c r="A33">
        <v>1</v>
      </c>
      <c r="B33">
        <v>28.17</v>
      </c>
      <c r="C33" t="s">
        <v>282</v>
      </c>
    </row>
    <row r="34" spans="1:3" x14ac:dyDescent="0.3">
      <c r="A34">
        <v>1</v>
      </c>
      <c r="B34">
        <v>3.26</v>
      </c>
      <c r="C34" t="s">
        <v>280</v>
      </c>
    </row>
    <row r="35" spans="1:3" x14ac:dyDescent="0.3">
      <c r="A35">
        <v>1</v>
      </c>
      <c r="B35">
        <v>28.41</v>
      </c>
      <c r="C35" t="s">
        <v>282</v>
      </c>
    </row>
    <row r="36" spans="1:3" x14ac:dyDescent="0.3">
      <c r="A36">
        <v>1</v>
      </c>
      <c r="B36">
        <v>5.32</v>
      </c>
      <c r="C36" t="s">
        <v>282</v>
      </c>
    </row>
    <row r="37" spans="1:3" x14ac:dyDescent="0.3">
      <c r="A37">
        <v>1</v>
      </c>
      <c r="B37">
        <v>3.26</v>
      </c>
      <c r="C37" t="s">
        <v>283</v>
      </c>
    </row>
    <row r="38" spans="1:3" x14ac:dyDescent="0.3">
      <c r="A38">
        <v>1</v>
      </c>
      <c r="B38">
        <v>3.23</v>
      </c>
      <c r="C38" t="s">
        <v>283</v>
      </c>
    </row>
    <row r="39" spans="1:3" x14ac:dyDescent="0.3">
      <c r="A39">
        <v>1</v>
      </c>
      <c r="B39">
        <v>5.32</v>
      </c>
      <c r="C39" t="s">
        <v>281</v>
      </c>
    </row>
    <row r="40" spans="1:3" x14ac:dyDescent="0.3">
      <c r="A40">
        <v>1</v>
      </c>
      <c r="B40">
        <v>3.23</v>
      </c>
      <c r="C40" t="s">
        <v>280</v>
      </c>
    </row>
    <row r="41" spans="1:3" x14ac:dyDescent="0.3">
      <c r="A41">
        <v>1</v>
      </c>
      <c r="B41">
        <v>25.04</v>
      </c>
      <c r="C41" t="s">
        <v>281</v>
      </c>
    </row>
    <row r="42" spans="1:3" x14ac:dyDescent="0.3">
      <c r="A42">
        <v>1</v>
      </c>
      <c r="B42">
        <v>141.44999999999999</v>
      </c>
      <c r="C42" t="s">
        <v>283</v>
      </c>
    </row>
    <row r="43" spans="1:3" x14ac:dyDescent="0.3">
      <c r="A43">
        <v>1</v>
      </c>
      <c r="B43">
        <v>112.6</v>
      </c>
      <c r="C43" t="s">
        <v>280</v>
      </c>
    </row>
    <row r="44" spans="1:3" x14ac:dyDescent="0.3">
      <c r="A44">
        <v>1</v>
      </c>
      <c r="B44">
        <v>19.07</v>
      </c>
      <c r="C44" t="s">
        <v>281</v>
      </c>
    </row>
    <row r="45" spans="1:3" x14ac:dyDescent="0.3">
      <c r="A45">
        <v>1</v>
      </c>
      <c r="B45">
        <v>23.21</v>
      </c>
      <c r="C45" t="s">
        <v>282</v>
      </c>
    </row>
    <row r="46" spans="1:3" x14ac:dyDescent="0.3">
      <c r="A46">
        <v>1</v>
      </c>
      <c r="B46">
        <v>2.79</v>
      </c>
      <c r="C46" t="s">
        <v>280</v>
      </c>
    </row>
    <row r="47" spans="1:3" x14ac:dyDescent="0.3">
      <c r="A47">
        <v>1</v>
      </c>
      <c r="B47">
        <v>23.62</v>
      </c>
      <c r="C47" t="s">
        <v>282</v>
      </c>
    </row>
    <row r="48" spans="1:3" x14ac:dyDescent="0.3">
      <c r="A48">
        <v>1</v>
      </c>
      <c r="B48">
        <v>4.5599999999999996</v>
      </c>
      <c r="C48" t="s">
        <v>282</v>
      </c>
    </row>
    <row r="49" spans="1:3" x14ac:dyDescent="0.3">
      <c r="A49">
        <v>1</v>
      </c>
      <c r="B49">
        <v>2.79</v>
      </c>
      <c r="C49" t="s">
        <v>283</v>
      </c>
    </row>
    <row r="50" spans="1:3" x14ac:dyDescent="0.3">
      <c r="A50">
        <v>1</v>
      </c>
      <c r="B50">
        <v>2.77</v>
      </c>
      <c r="C50" t="s">
        <v>283</v>
      </c>
    </row>
    <row r="51" spans="1:3" x14ac:dyDescent="0.3">
      <c r="A51">
        <v>1</v>
      </c>
      <c r="B51">
        <v>4.5599999999999996</v>
      </c>
      <c r="C51" t="s">
        <v>281</v>
      </c>
    </row>
    <row r="52" spans="1:3" x14ac:dyDescent="0.3">
      <c r="A52">
        <v>1</v>
      </c>
      <c r="B52">
        <v>2.77</v>
      </c>
      <c r="C52" t="s">
        <v>280</v>
      </c>
    </row>
    <row r="53" spans="1:3" x14ac:dyDescent="0.3">
      <c r="A53">
        <v>1</v>
      </c>
      <c r="B53">
        <v>20.09</v>
      </c>
      <c r="C53" t="s">
        <v>281</v>
      </c>
    </row>
    <row r="54" spans="1:3" x14ac:dyDescent="0.3">
      <c r="A54">
        <v>1</v>
      </c>
      <c r="B54">
        <v>115.17</v>
      </c>
      <c r="C54" t="s">
        <v>283</v>
      </c>
    </row>
    <row r="55" spans="1:3" x14ac:dyDescent="0.3">
      <c r="A55">
        <v>1</v>
      </c>
      <c r="B55">
        <v>112.6</v>
      </c>
      <c r="C55" t="s">
        <v>280</v>
      </c>
    </row>
    <row r="56" spans="1:3" x14ac:dyDescent="0.3">
      <c r="A56">
        <v>1</v>
      </c>
      <c r="B56">
        <v>19.07</v>
      </c>
      <c r="C56" t="s">
        <v>281</v>
      </c>
    </row>
    <row r="57" spans="1:3" x14ac:dyDescent="0.3">
      <c r="A57">
        <v>1</v>
      </c>
      <c r="B57">
        <v>23.21</v>
      </c>
      <c r="C57" t="s">
        <v>282</v>
      </c>
    </row>
    <row r="58" spans="1:3" x14ac:dyDescent="0.3">
      <c r="A58">
        <v>1</v>
      </c>
      <c r="B58">
        <v>2.79</v>
      </c>
      <c r="C58" t="s">
        <v>280</v>
      </c>
    </row>
    <row r="59" spans="1:3" x14ac:dyDescent="0.3">
      <c r="A59">
        <v>1</v>
      </c>
      <c r="B59">
        <v>23.62</v>
      </c>
      <c r="C59" t="s">
        <v>282</v>
      </c>
    </row>
    <row r="60" spans="1:3" x14ac:dyDescent="0.3">
      <c r="A60">
        <v>1</v>
      </c>
      <c r="B60">
        <v>4.5599999999999996</v>
      </c>
      <c r="C60" t="s">
        <v>282</v>
      </c>
    </row>
    <row r="61" spans="1:3" x14ac:dyDescent="0.3">
      <c r="A61">
        <v>1</v>
      </c>
      <c r="B61">
        <v>2.79</v>
      </c>
      <c r="C61" t="s">
        <v>283</v>
      </c>
    </row>
    <row r="62" spans="1:3" x14ac:dyDescent="0.3">
      <c r="A62">
        <v>1</v>
      </c>
      <c r="B62">
        <v>2.77</v>
      </c>
      <c r="C62" t="s">
        <v>283</v>
      </c>
    </row>
    <row r="63" spans="1:3" x14ac:dyDescent="0.3">
      <c r="A63">
        <v>1</v>
      </c>
      <c r="B63">
        <v>4.5599999999999996</v>
      </c>
      <c r="C63" t="s">
        <v>281</v>
      </c>
    </row>
    <row r="64" spans="1:3" x14ac:dyDescent="0.3">
      <c r="A64">
        <v>1</v>
      </c>
      <c r="B64">
        <v>2.77</v>
      </c>
      <c r="C64" t="s">
        <v>280</v>
      </c>
    </row>
    <row r="65" spans="1:3" x14ac:dyDescent="0.3">
      <c r="A65">
        <v>1</v>
      </c>
      <c r="B65">
        <v>20.09</v>
      </c>
      <c r="C65" t="s">
        <v>281</v>
      </c>
    </row>
    <row r="66" spans="1:3" x14ac:dyDescent="0.3">
      <c r="A66">
        <v>1</v>
      </c>
      <c r="B66">
        <v>115.17</v>
      </c>
      <c r="C66" t="s">
        <v>283</v>
      </c>
    </row>
    <row r="67" spans="1:3" x14ac:dyDescent="0.3">
      <c r="A67">
        <v>1</v>
      </c>
      <c r="B67">
        <v>112.6</v>
      </c>
      <c r="C67" t="s">
        <v>280</v>
      </c>
    </row>
    <row r="68" spans="1:3" x14ac:dyDescent="0.3">
      <c r="A68">
        <v>1</v>
      </c>
      <c r="B68">
        <v>19.07</v>
      </c>
      <c r="C68" t="s">
        <v>281</v>
      </c>
    </row>
    <row r="69" spans="1:3" x14ac:dyDescent="0.3">
      <c r="A69">
        <v>1</v>
      </c>
      <c r="B69">
        <v>23.21</v>
      </c>
      <c r="C69" t="s">
        <v>282</v>
      </c>
    </row>
    <row r="70" spans="1:3" x14ac:dyDescent="0.3">
      <c r="A70">
        <v>1</v>
      </c>
      <c r="B70">
        <v>2.79</v>
      </c>
      <c r="C70" t="s">
        <v>280</v>
      </c>
    </row>
    <row r="71" spans="1:3" x14ac:dyDescent="0.3">
      <c r="A71">
        <v>1</v>
      </c>
      <c r="B71">
        <v>23.62</v>
      </c>
      <c r="C71" t="s">
        <v>282</v>
      </c>
    </row>
    <row r="72" spans="1:3" x14ac:dyDescent="0.3">
      <c r="A72">
        <v>1</v>
      </c>
      <c r="B72">
        <v>4.5599999999999996</v>
      </c>
      <c r="C72" t="s">
        <v>282</v>
      </c>
    </row>
    <row r="73" spans="1:3" x14ac:dyDescent="0.3">
      <c r="A73">
        <v>1</v>
      </c>
      <c r="B73">
        <v>2.79</v>
      </c>
      <c r="C73" t="s">
        <v>283</v>
      </c>
    </row>
    <row r="74" spans="1:3" x14ac:dyDescent="0.3">
      <c r="A74">
        <v>1</v>
      </c>
      <c r="B74">
        <v>2.77</v>
      </c>
      <c r="C74" t="s">
        <v>283</v>
      </c>
    </row>
    <row r="75" spans="1:3" x14ac:dyDescent="0.3">
      <c r="A75">
        <v>1</v>
      </c>
      <c r="B75">
        <v>4.5599999999999996</v>
      </c>
      <c r="C75" t="s">
        <v>281</v>
      </c>
    </row>
    <row r="76" spans="1:3" x14ac:dyDescent="0.3">
      <c r="A76">
        <v>1</v>
      </c>
      <c r="B76">
        <v>2.77</v>
      </c>
      <c r="C76" t="s">
        <v>280</v>
      </c>
    </row>
    <row r="77" spans="1:3" x14ac:dyDescent="0.3">
      <c r="A77">
        <v>1</v>
      </c>
      <c r="B77">
        <v>20.09</v>
      </c>
      <c r="C77" t="s">
        <v>281</v>
      </c>
    </row>
    <row r="78" spans="1:3" x14ac:dyDescent="0.3">
      <c r="A78">
        <v>1</v>
      </c>
      <c r="B78">
        <v>115.17</v>
      </c>
      <c r="C78" t="s">
        <v>283</v>
      </c>
    </row>
    <row r="79" spans="1:3" x14ac:dyDescent="0.3">
      <c r="A79">
        <v>1</v>
      </c>
      <c r="B79">
        <v>112.6</v>
      </c>
      <c r="C79" t="s">
        <v>280</v>
      </c>
    </row>
    <row r="80" spans="1:3" x14ac:dyDescent="0.3">
      <c r="A80">
        <v>1</v>
      </c>
      <c r="B80">
        <v>19.07</v>
      </c>
      <c r="C80" t="s">
        <v>281</v>
      </c>
    </row>
    <row r="81" spans="1:3" x14ac:dyDescent="0.3">
      <c r="A81">
        <v>1</v>
      </c>
      <c r="B81">
        <v>23.21</v>
      </c>
      <c r="C81" t="s">
        <v>282</v>
      </c>
    </row>
    <row r="82" spans="1:3" x14ac:dyDescent="0.3">
      <c r="A82">
        <v>1</v>
      </c>
      <c r="B82">
        <v>2.79</v>
      </c>
      <c r="C82" t="s">
        <v>280</v>
      </c>
    </row>
    <row r="83" spans="1:3" x14ac:dyDescent="0.3">
      <c r="A83">
        <v>1</v>
      </c>
      <c r="B83">
        <v>23.62</v>
      </c>
      <c r="C83" t="s">
        <v>282</v>
      </c>
    </row>
    <row r="84" spans="1:3" x14ac:dyDescent="0.3">
      <c r="A84">
        <v>1</v>
      </c>
      <c r="B84">
        <v>4.5599999999999996</v>
      </c>
      <c r="C84" t="s">
        <v>282</v>
      </c>
    </row>
    <row r="85" spans="1:3" x14ac:dyDescent="0.3">
      <c r="A85">
        <v>1</v>
      </c>
      <c r="B85">
        <v>2.79</v>
      </c>
      <c r="C85" t="s">
        <v>283</v>
      </c>
    </row>
    <row r="86" spans="1:3" x14ac:dyDescent="0.3">
      <c r="A86">
        <v>1</v>
      </c>
      <c r="B86">
        <v>2.77</v>
      </c>
      <c r="C86" t="s">
        <v>283</v>
      </c>
    </row>
    <row r="87" spans="1:3" x14ac:dyDescent="0.3">
      <c r="A87">
        <v>1</v>
      </c>
      <c r="B87">
        <v>4.5599999999999996</v>
      </c>
      <c r="C87" t="s">
        <v>281</v>
      </c>
    </row>
    <row r="88" spans="1:3" x14ac:dyDescent="0.3">
      <c r="A88">
        <v>1</v>
      </c>
      <c r="B88">
        <v>2.77</v>
      </c>
      <c r="C88" t="s">
        <v>280</v>
      </c>
    </row>
    <row r="89" spans="1:3" x14ac:dyDescent="0.3">
      <c r="A89">
        <v>1</v>
      </c>
      <c r="B89">
        <v>20.09</v>
      </c>
      <c r="C89" t="s">
        <v>281</v>
      </c>
    </row>
    <row r="90" spans="1:3" x14ac:dyDescent="0.3">
      <c r="A90">
        <v>1</v>
      </c>
      <c r="B90">
        <v>115.17</v>
      </c>
      <c r="C90" t="s">
        <v>283</v>
      </c>
    </row>
    <row r="91" spans="1:3" x14ac:dyDescent="0.3">
      <c r="A91">
        <v>1</v>
      </c>
      <c r="B91">
        <v>112.6</v>
      </c>
      <c r="C91" t="s">
        <v>280</v>
      </c>
    </row>
    <row r="92" spans="1:3" x14ac:dyDescent="0.3">
      <c r="A92">
        <v>1</v>
      </c>
      <c r="B92">
        <v>19.07</v>
      </c>
      <c r="C92" t="s">
        <v>281</v>
      </c>
    </row>
    <row r="93" spans="1:3" x14ac:dyDescent="0.3">
      <c r="A93">
        <v>1</v>
      </c>
      <c r="B93">
        <v>23.21</v>
      </c>
      <c r="C93" t="s">
        <v>282</v>
      </c>
    </row>
    <row r="94" spans="1:3" x14ac:dyDescent="0.3">
      <c r="A94">
        <v>1</v>
      </c>
      <c r="B94">
        <v>2.79</v>
      </c>
      <c r="C94" t="s">
        <v>280</v>
      </c>
    </row>
    <row r="95" spans="1:3" x14ac:dyDescent="0.3">
      <c r="A95">
        <v>1</v>
      </c>
      <c r="B95">
        <v>23.62</v>
      </c>
      <c r="C95" t="s">
        <v>282</v>
      </c>
    </row>
    <row r="96" spans="1:3" x14ac:dyDescent="0.3">
      <c r="A96">
        <v>1</v>
      </c>
      <c r="B96">
        <v>4.5599999999999996</v>
      </c>
      <c r="C96" t="s">
        <v>282</v>
      </c>
    </row>
    <row r="97" spans="1:3" x14ac:dyDescent="0.3">
      <c r="A97">
        <v>1</v>
      </c>
      <c r="B97">
        <v>2.79</v>
      </c>
      <c r="C97" t="s">
        <v>283</v>
      </c>
    </row>
    <row r="98" spans="1:3" x14ac:dyDescent="0.3">
      <c r="A98">
        <v>1</v>
      </c>
      <c r="B98">
        <v>2.77</v>
      </c>
      <c r="C98" t="s">
        <v>283</v>
      </c>
    </row>
    <row r="99" spans="1:3" x14ac:dyDescent="0.3">
      <c r="A99">
        <v>1</v>
      </c>
      <c r="B99">
        <v>4.5599999999999996</v>
      </c>
      <c r="C99" t="s">
        <v>281</v>
      </c>
    </row>
    <row r="100" spans="1:3" x14ac:dyDescent="0.3">
      <c r="A100">
        <v>1</v>
      </c>
      <c r="B100">
        <v>2.77</v>
      </c>
      <c r="C100" t="s">
        <v>280</v>
      </c>
    </row>
    <row r="101" spans="1:3" x14ac:dyDescent="0.3">
      <c r="A101">
        <v>1</v>
      </c>
      <c r="B101">
        <v>20.09</v>
      </c>
      <c r="C101" t="s">
        <v>281</v>
      </c>
    </row>
    <row r="102" spans="1:3" x14ac:dyDescent="0.3">
      <c r="A102">
        <v>1</v>
      </c>
      <c r="B102">
        <v>115.17</v>
      </c>
      <c r="C102" t="s">
        <v>283</v>
      </c>
    </row>
    <row r="103" spans="1:3" x14ac:dyDescent="0.3">
      <c r="A103">
        <v>1</v>
      </c>
      <c r="B103">
        <v>112.6</v>
      </c>
      <c r="C103" t="s">
        <v>280</v>
      </c>
    </row>
    <row r="104" spans="1:3" x14ac:dyDescent="0.3">
      <c r="A104">
        <v>1</v>
      </c>
      <c r="B104">
        <v>19.07</v>
      </c>
      <c r="C104" t="s">
        <v>281</v>
      </c>
    </row>
    <row r="105" spans="1:3" x14ac:dyDescent="0.3">
      <c r="A105">
        <v>1</v>
      </c>
      <c r="B105">
        <v>23.21</v>
      </c>
      <c r="C105" t="s">
        <v>282</v>
      </c>
    </row>
    <row r="106" spans="1:3" x14ac:dyDescent="0.3">
      <c r="A106">
        <v>1</v>
      </c>
      <c r="B106">
        <v>2.79</v>
      </c>
      <c r="C106" t="s">
        <v>280</v>
      </c>
    </row>
    <row r="107" spans="1:3" x14ac:dyDescent="0.3">
      <c r="A107">
        <v>1</v>
      </c>
      <c r="B107">
        <v>23.62</v>
      </c>
      <c r="C107" t="s">
        <v>282</v>
      </c>
    </row>
    <row r="108" spans="1:3" x14ac:dyDescent="0.3">
      <c r="A108">
        <v>1</v>
      </c>
      <c r="B108">
        <v>4.5599999999999996</v>
      </c>
      <c r="C108" t="s">
        <v>282</v>
      </c>
    </row>
    <row r="109" spans="1:3" x14ac:dyDescent="0.3">
      <c r="A109">
        <v>1</v>
      </c>
      <c r="B109">
        <v>2.79</v>
      </c>
      <c r="C109" t="s">
        <v>283</v>
      </c>
    </row>
    <row r="110" spans="1:3" x14ac:dyDescent="0.3">
      <c r="A110">
        <v>1</v>
      </c>
      <c r="B110">
        <v>2.77</v>
      </c>
      <c r="C110" t="s">
        <v>283</v>
      </c>
    </row>
    <row r="111" spans="1:3" x14ac:dyDescent="0.3">
      <c r="A111">
        <v>1</v>
      </c>
      <c r="B111">
        <v>4.5599999999999996</v>
      </c>
      <c r="C111" t="s">
        <v>281</v>
      </c>
    </row>
    <row r="112" spans="1:3" x14ac:dyDescent="0.3">
      <c r="A112">
        <v>1</v>
      </c>
      <c r="B112">
        <v>2.77</v>
      </c>
      <c r="C112" t="s">
        <v>280</v>
      </c>
    </row>
    <row r="113" spans="1:3" x14ac:dyDescent="0.3">
      <c r="A113">
        <v>1</v>
      </c>
      <c r="B113">
        <v>20.09</v>
      </c>
      <c r="C113" t="s">
        <v>281</v>
      </c>
    </row>
    <row r="114" spans="1:3" x14ac:dyDescent="0.3">
      <c r="A114">
        <v>1</v>
      </c>
      <c r="B114">
        <v>115.17</v>
      </c>
      <c r="C114" t="s">
        <v>283</v>
      </c>
    </row>
    <row r="115" spans="1:3" x14ac:dyDescent="0.3">
      <c r="A115">
        <v>1</v>
      </c>
      <c r="B115">
        <v>143.19999999999999</v>
      </c>
      <c r="C115" t="s">
        <v>280</v>
      </c>
    </row>
    <row r="116" spans="1:3" x14ac:dyDescent="0.3">
      <c r="A116">
        <v>1</v>
      </c>
      <c r="B116">
        <v>24.57</v>
      </c>
      <c r="C116" t="s">
        <v>281</v>
      </c>
    </row>
    <row r="117" spans="1:3" x14ac:dyDescent="0.3">
      <c r="A117">
        <v>1</v>
      </c>
      <c r="B117">
        <v>28.91</v>
      </c>
      <c r="C117" t="s">
        <v>282</v>
      </c>
    </row>
    <row r="118" spans="1:3" x14ac:dyDescent="0.3">
      <c r="A118">
        <v>1</v>
      </c>
      <c r="B118">
        <v>3.32</v>
      </c>
      <c r="C118" t="s">
        <v>280</v>
      </c>
    </row>
    <row r="119" spans="1:3" x14ac:dyDescent="0.3">
      <c r="A119">
        <v>1</v>
      </c>
      <c r="B119">
        <v>29.12</v>
      </c>
      <c r="C119" t="s">
        <v>282</v>
      </c>
    </row>
    <row r="120" spans="1:3" x14ac:dyDescent="0.3">
      <c r="A120">
        <v>1</v>
      </c>
      <c r="B120">
        <v>5.44</v>
      </c>
      <c r="C120" t="s">
        <v>282</v>
      </c>
    </row>
    <row r="121" spans="1:3" x14ac:dyDescent="0.3">
      <c r="A121">
        <v>1</v>
      </c>
      <c r="B121">
        <v>3.32</v>
      </c>
      <c r="C121" t="s">
        <v>283</v>
      </c>
    </row>
    <row r="122" spans="1:3" x14ac:dyDescent="0.3">
      <c r="A122">
        <v>1</v>
      </c>
      <c r="B122">
        <v>3.3</v>
      </c>
      <c r="C122" t="s">
        <v>283</v>
      </c>
    </row>
    <row r="123" spans="1:3" x14ac:dyDescent="0.3">
      <c r="A123">
        <v>1</v>
      </c>
      <c r="B123">
        <v>5.44</v>
      </c>
      <c r="C123" t="s">
        <v>281</v>
      </c>
    </row>
    <row r="124" spans="1:3" x14ac:dyDescent="0.3">
      <c r="A124">
        <v>1</v>
      </c>
      <c r="B124">
        <v>3.3</v>
      </c>
      <c r="C124" t="s">
        <v>280</v>
      </c>
    </row>
    <row r="125" spans="1:3" x14ac:dyDescent="0.3">
      <c r="A125">
        <v>1</v>
      </c>
      <c r="B125">
        <v>25.78</v>
      </c>
      <c r="C125" t="s">
        <v>281</v>
      </c>
    </row>
    <row r="126" spans="1:3" x14ac:dyDescent="0.3">
      <c r="A126">
        <v>1</v>
      </c>
      <c r="B126">
        <v>145.38999999999999</v>
      </c>
      <c r="C126" t="s">
        <v>283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D349"/>
  <sheetViews>
    <sheetView workbookViewId="0"/>
  </sheetViews>
  <sheetFormatPr defaultRowHeight="14.4" x14ac:dyDescent="0.3"/>
  <sheetData>
    <row r="1" spans="1:4" x14ac:dyDescent="0.3">
      <c r="A1" t="s">
        <v>262</v>
      </c>
      <c r="B1" t="s">
        <v>263</v>
      </c>
      <c r="C1" t="s">
        <v>264</v>
      </c>
    </row>
    <row r="3" spans="1:4" x14ac:dyDescent="0.3">
      <c r="A3">
        <v>1</v>
      </c>
      <c r="B3">
        <v>1.43</v>
      </c>
      <c r="C3">
        <v>1.19</v>
      </c>
      <c r="D3" t="s">
        <v>280</v>
      </c>
    </row>
    <row r="4" spans="1:4" x14ac:dyDescent="0.3">
      <c r="A4">
        <v>1</v>
      </c>
      <c r="B4">
        <v>1.43</v>
      </c>
      <c r="C4">
        <v>1.19</v>
      </c>
      <c r="D4" t="s">
        <v>280</v>
      </c>
    </row>
    <row r="5" spans="1:4" x14ac:dyDescent="0.3">
      <c r="A5">
        <v>1</v>
      </c>
      <c r="B5">
        <v>1.43</v>
      </c>
      <c r="C5">
        <v>1.19</v>
      </c>
      <c r="D5" t="s">
        <v>280</v>
      </c>
    </row>
    <row r="6" spans="1:4" x14ac:dyDescent="0.3">
      <c r="A6">
        <v>1</v>
      </c>
      <c r="B6">
        <v>1.43</v>
      </c>
      <c r="C6">
        <v>1.19</v>
      </c>
      <c r="D6" t="s">
        <v>280</v>
      </c>
    </row>
    <row r="7" spans="1:4" x14ac:dyDescent="0.3">
      <c r="A7">
        <v>1</v>
      </c>
      <c r="B7">
        <v>1.43</v>
      </c>
      <c r="C7">
        <v>1.19</v>
      </c>
      <c r="D7" t="s">
        <v>280</v>
      </c>
    </row>
    <row r="8" spans="1:4" x14ac:dyDescent="0.3">
      <c r="A8">
        <v>1</v>
      </c>
      <c r="B8">
        <v>2.23</v>
      </c>
      <c r="C8">
        <v>2.17</v>
      </c>
      <c r="D8" t="s">
        <v>280</v>
      </c>
    </row>
    <row r="9" spans="1:4" x14ac:dyDescent="0.3">
      <c r="A9">
        <v>1</v>
      </c>
      <c r="B9">
        <v>2.23</v>
      </c>
      <c r="C9">
        <v>2.17</v>
      </c>
      <c r="D9" t="s">
        <v>280</v>
      </c>
    </row>
    <row r="10" spans="1:4" x14ac:dyDescent="0.3">
      <c r="A10">
        <v>1</v>
      </c>
      <c r="B10">
        <v>2.23</v>
      </c>
      <c r="C10">
        <v>2.17</v>
      </c>
      <c r="D10" t="s">
        <v>280</v>
      </c>
    </row>
    <row r="11" spans="1:4" x14ac:dyDescent="0.3">
      <c r="A11">
        <v>1</v>
      </c>
      <c r="B11">
        <v>2.23</v>
      </c>
      <c r="C11">
        <v>2.17</v>
      </c>
      <c r="D11" t="s">
        <v>280</v>
      </c>
    </row>
    <row r="12" spans="1:4" x14ac:dyDescent="0.3">
      <c r="A12">
        <v>1</v>
      </c>
      <c r="B12">
        <v>2.23</v>
      </c>
      <c r="C12">
        <v>2.17</v>
      </c>
      <c r="D12" t="s">
        <v>280</v>
      </c>
    </row>
    <row r="13" spans="1:4" x14ac:dyDescent="0.3">
      <c r="A13">
        <v>1</v>
      </c>
      <c r="B13">
        <v>2.23</v>
      </c>
      <c r="C13">
        <v>2.17</v>
      </c>
      <c r="D13" t="s">
        <v>280</v>
      </c>
    </row>
    <row r="14" spans="1:4" x14ac:dyDescent="0.3">
      <c r="A14">
        <v>1</v>
      </c>
      <c r="B14">
        <v>2.23</v>
      </c>
      <c r="C14">
        <v>2.17</v>
      </c>
      <c r="D14" t="s">
        <v>280</v>
      </c>
    </row>
    <row r="15" spans="1:4" x14ac:dyDescent="0.3">
      <c r="A15">
        <v>1</v>
      </c>
      <c r="B15">
        <v>2.23</v>
      </c>
      <c r="C15">
        <v>2.17</v>
      </c>
      <c r="D15" t="s">
        <v>280</v>
      </c>
    </row>
    <row r="16" spans="1:4" x14ac:dyDescent="0.3">
      <c r="A16">
        <v>1</v>
      </c>
      <c r="B16">
        <v>2.23</v>
      </c>
      <c r="C16">
        <v>2.17</v>
      </c>
      <c r="D16" t="s">
        <v>282</v>
      </c>
    </row>
    <row r="17" spans="1:4" x14ac:dyDescent="0.3">
      <c r="A17">
        <v>1</v>
      </c>
      <c r="B17">
        <v>1.43</v>
      </c>
      <c r="C17">
        <v>1.19</v>
      </c>
      <c r="D17" t="s">
        <v>282</v>
      </c>
    </row>
    <row r="18" spans="1:4" x14ac:dyDescent="0.3">
      <c r="A18">
        <v>1</v>
      </c>
      <c r="B18">
        <v>2.23</v>
      </c>
      <c r="C18">
        <v>2.17</v>
      </c>
      <c r="D18" t="s">
        <v>281</v>
      </c>
    </row>
    <row r="19" spans="1:4" x14ac:dyDescent="0.3">
      <c r="A19">
        <v>1</v>
      </c>
      <c r="B19">
        <v>2.23</v>
      </c>
      <c r="C19">
        <v>2.17</v>
      </c>
      <c r="D19" t="s">
        <v>281</v>
      </c>
    </row>
    <row r="20" spans="1:4" x14ac:dyDescent="0.3">
      <c r="A20">
        <v>1</v>
      </c>
      <c r="B20">
        <v>2.23</v>
      </c>
      <c r="C20">
        <v>2.17</v>
      </c>
      <c r="D20" t="s">
        <v>281</v>
      </c>
    </row>
    <row r="21" spans="1:4" x14ac:dyDescent="0.3">
      <c r="A21">
        <v>1</v>
      </c>
      <c r="B21">
        <v>2.23</v>
      </c>
      <c r="C21">
        <v>2.17</v>
      </c>
      <c r="D21" t="s">
        <v>281</v>
      </c>
    </row>
    <row r="22" spans="1:4" x14ac:dyDescent="0.3">
      <c r="A22">
        <v>1</v>
      </c>
      <c r="B22">
        <v>1.43</v>
      </c>
      <c r="C22">
        <v>1.19</v>
      </c>
      <c r="D22" t="s">
        <v>282</v>
      </c>
    </row>
    <row r="23" spans="1:4" x14ac:dyDescent="0.3">
      <c r="A23">
        <v>1</v>
      </c>
      <c r="B23">
        <v>1.43</v>
      </c>
      <c r="C23">
        <v>1.19</v>
      </c>
      <c r="D23" t="s">
        <v>282</v>
      </c>
    </row>
    <row r="24" spans="1:4" x14ac:dyDescent="0.3">
      <c r="A24">
        <v>1</v>
      </c>
      <c r="B24">
        <v>1.43</v>
      </c>
      <c r="C24">
        <v>1.19</v>
      </c>
      <c r="D24" t="s">
        <v>282</v>
      </c>
    </row>
    <row r="25" spans="1:4" x14ac:dyDescent="0.3">
      <c r="A25">
        <v>1</v>
      </c>
      <c r="B25">
        <v>2</v>
      </c>
      <c r="C25">
        <v>2.2000000000000002</v>
      </c>
      <c r="D25" t="s">
        <v>280</v>
      </c>
    </row>
    <row r="26" spans="1:4" x14ac:dyDescent="0.3">
      <c r="A26">
        <v>1</v>
      </c>
      <c r="B26">
        <v>2.23</v>
      </c>
      <c r="C26">
        <v>2.17</v>
      </c>
      <c r="D26" t="s">
        <v>281</v>
      </c>
    </row>
    <row r="27" spans="1:4" x14ac:dyDescent="0.3">
      <c r="A27">
        <v>1</v>
      </c>
      <c r="B27">
        <v>2.23</v>
      </c>
      <c r="C27">
        <v>2.17</v>
      </c>
      <c r="D27" t="s">
        <v>281</v>
      </c>
    </row>
    <row r="28" spans="1:4" x14ac:dyDescent="0.3">
      <c r="A28">
        <v>1</v>
      </c>
      <c r="B28">
        <v>2.23</v>
      </c>
      <c r="C28">
        <v>2.17</v>
      </c>
      <c r="D28" t="s">
        <v>281</v>
      </c>
    </row>
    <row r="29" spans="1:4" x14ac:dyDescent="0.3">
      <c r="A29">
        <v>1</v>
      </c>
      <c r="B29">
        <v>2.23</v>
      </c>
      <c r="C29">
        <v>2.17</v>
      </c>
      <c r="D29" t="s">
        <v>281</v>
      </c>
    </row>
    <row r="30" spans="1:4" x14ac:dyDescent="0.3">
      <c r="A30">
        <v>1</v>
      </c>
      <c r="B30">
        <v>2.23</v>
      </c>
      <c r="C30">
        <v>2.17</v>
      </c>
      <c r="D30" t="s">
        <v>282</v>
      </c>
    </row>
    <row r="31" spans="1:4" x14ac:dyDescent="0.3">
      <c r="A31">
        <v>1</v>
      </c>
      <c r="B31">
        <v>2.23</v>
      </c>
      <c r="C31">
        <v>2.17</v>
      </c>
      <c r="D31" t="s">
        <v>282</v>
      </c>
    </row>
    <row r="32" spans="1:4" x14ac:dyDescent="0.3">
      <c r="A32">
        <v>1</v>
      </c>
      <c r="B32">
        <v>3</v>
      </c>
      <c r="C32">
        <v>2.2000000000000002</v>
      </c>
      <c r="D32" t="s">
        <v>280</v>
      </c>
    </row>
    <row r="33" spans="1:4" x14ac:dyDescent="0.3">
      <c r="A33">
        <v>1</v>
      </c>
      <c r="B33">
        <v>3</v>
      </c>
      <c r="C33">
        <v>2.2000000000000002</v>
      </c>
      <c r="D33" t="s">
        <v>280</v>
      </c>
    </row>
    <row r="34" spans="1:4" x14ac:dyDescent="0.3">
      <c r="A34">
        <v>1</v>
      </c>
      <c r="B34">
        <v>3</v>
      </c>
      <c r="C34">
        <v>2.2000000000000002</v>
      </c>
      <c r="D34" t="s">
        <v>280</v>
      </c>
    </row>
    <row r="35" spans="1:4" x14ac:dyDescent="0.3">
      <c r="A35">
        <v>1</v>
      </c>
      <c r="B35">
        <v>3</v>
      </c>
      <c r="C35">
        <v>2.2000000000000002</v>
      </c>
      <c r="D35" t="s">
        <v>280</v>
      </c>
    </row>
    <row r="36" spans="1:4" x14ac:dyDescent="0.3">
      <c r="A36">
        <v>1</v>
      </c>
      <c r="B36">
        <v>3</v>
      </c>
      <c r="C36">
        <v>2.2000000000000002</v>
      </c>
      <c r="D36" t="s">
        <v>280</v>
      </c>
    </row>
    <row r="37" spans="1:4" x14ac:dyDescent="0.3">
      <c r="A37">
        <v>1</v>
      </c>
      <c r="B37">
        <v>3</v>
      </c>
      <c r="C37">
        <v>2.2000000000000002</v>
      </c>
      <c r="D37" t="s">
        <v>280</v>
      </c>
    </row>
    <row r="38" spans="1:4" x14ac:dyDescent="0.3">
      <c r="A38">
        <v>1</v>
      </c>
      <c r="B38">
        <v>3</v>
      </c>
      <c r="C38">
        <v>2.2000000000000002</v>
      </c>
      <c r="D38" t="s">
        <v>283</v>
      </c>
    </row>
    <row r="39" spans="1:4" x14ac:dyDescent="0.3">
      <c r="A39">
        <v>1</v>
      </c>
      <c r="B39">
        <v>3</v>
      </c>
      <c r="C39">
        <v>2.2000000000000002</v>
      </c>
      <c r="D39" t="s">
        <v>283</v>
      </c>
    </row>
    <row r="40" spans="1:4" x14ac:dyDescent="0.3">
      <c r="A40">
        <v>1</v>
      </c>
      <c r="B40">
        <v>3</v>
      </c>
      <c r="C40">
        <v>2.2000000000000002</v>
      </c>
      <c r="D40" t="s">
        <v>283</v>
      </c>
    </row>
    <row r="41" spans="1:4" x14ac:dyDescent="0.3">
      <c r="A41">
        <v>1</v>
      </c>
      <c r="B41">
        <v>3</v>
      </c>
      <c r="C41">
        <v>2.2000000000000002</v>
      </c>
      <c r="D41" t="s">
        <v>283</v>
      </c>
    </row>
    <row r="42" spans="1:4" x14ac:dyDescent="0.3">
      <c r="A42">
        <v>1</v>
      </c>
      <c r="B42">
        <v>3</v>
      </c>
      <c r="C42">
        <v>2.2000000000000002</v>
      </c>
      <c r="D42" t="s">
        <v>283</v>
      </c>
    </row>
    <row r="43" spans="1:4" x14ac:dyDescent="0.3">
      <c r="A43">
        <v>1</v>
      </c>
      <c r="B43">
        <v>3</v>
      </c>
      <c r="C43">
        <v>2.2000000000000002</v>
      </c>
      <c r="D43" t="s">
        <v>283</v>
      </c>
    </row>
    <row r="44" spans="1:4" x14ac:dyDescent="0.3">
      <c r="A44">
        <v>1</v>
      </c>
      <c r="B44">
        <v>3</v>
      </c>
      <c r="C44">
        <v>2.2000000000000002</v>
      </c>
      <c r="D44" t="s">
        <v>283</v>
      </c>
    </row>
    <row r="45" spans="1:4" x14ac:dyDescent="0.3">
      <c r="A45">
        <v>1</v>
      </c>
      <c r="B45">
        <v>3</v>
      </c>
      <c r="C45">
        <v>2.2000000000000002</v>
      </c>
      <c r="D45" t="s">
        <v>283</v>
      </c>
    </row>
    <row r="46" spans="1:4" x14ac:dyDescent="0.3">
      <c r="A46">
        <v>1</v>
      </c>
      <c r="B46">
        <v>2</v>
      </c>
      <c r="C46">
        <v>2.2000000000000002</v>
      </c>
      <c r="D46" t="s">
        <v>283</v>
      </c>
    </row>
    <row r="47" spans="1:4" x14ac:dyDescent="0.3">
      <c r="A47">
        <v>1</v>
      </c>
      <c r="B47">
        <v>2</v>
      </c>
      <c r="C47">
        <v>2.2000000000000002</v>
      </c>
      <c r="D47" t="s">
        <v>283</v>
      </c>
    </row>
    <row r="48" spans="1:4" x14ac:dyDescent="0.3">
      <c r="A48">
        <v>1</v>
      </c>
      <c r="B48">
        <v>1.43</v>
      </c>
      <c r="C48">
        <v>1.19</v>
      </c>
      <c r="D48" t="s">
        <v>283</v>
      </c>
    </row>
    <row r="49" spans="1:4" x14ac:dyDescent="0.3">
      <c r="A49">
        <v>1</v>
      </c>
      <c r="B49">
        <v>1.43</v>
      </c>
      <c r="C49">
        <v>1.19</v>
      </c>
      <c r="D49" t="s">
        <v>283</v>
      </c>
    </row>
    <row r="50" spans="1:4" x14ac:dyDescent="0.3">
      <c r="A50">
        <v>1</v>
      </c>
      <c r="B50">
        <v>1.43</v>
      </c>
      <c r="C50">
        <v>1.19</v>
      </c>
      <c r="D50" t="s">
        <v>283</v>
      </c>
    </row>
    <row r="51" spans="1:4" x14ac:dyDescent="0.3">
      <c r="A51">
        <v>1</v>
      </c>
      <c r="B51">
        <v>1.43</v>
      </c>
      <c r="C51">
        <v>1.19</v>
      </c>
      <c r="D51" t="s">
        <v>283</v>
      </c>
    </row>
    <row r="52" spans="1:4" x14ac:dyDescent="0.3">
      <c r="A52">
        <v>1</v>
      </c>
      <c r="B52">
        <v>1.43</v>
      </c>
      <c r="C52">
        <v>1.19</v>
      </c>
      <c r="D52" t="s">
        <v>283</v>
      </c>
    </row>
    <row r="53" spans="1:4" x14ac:dyDescent="0.3">
      <c r="A53">
        <v>1</v>
      </c>
      <c r="B53">
        <v>1.43</v>
      </c>
      <c r="C53">
        <v>1.19</v>
      </c>
      <c r="D53" t="s">
        <v>283</v>
      </c>
    </row>
    <row r="54" spans="1:4" x14ac:dyDescent="0.3">
      <c r="A54">
        <v>1</v>
      </c>
      <c r="B54">
        <v>1.43</v>
      </c>
      <c r="C54">
        <v>1.19</v>
      </c>
      <c r="D54" t="s">
        <v>283</v>
      </c>
    </row>
    <row r="55" spans="1:4" x14ac:dyDescent="0.3">
      <c r="A55">
        <v>1</v>
      </c>
      <c r="B55">
        <v>1.43</v>
      </c>
      <c r="C55">
        <v>1.19</v>
      </c>
      <c r="D55" t="s">
        <v>283</v>
      </c>
    </row>
    <row r="56" spans="1:4" x14ac:dyDescent="0.3">
      <c r="A56">
        <v>1</v>
      </c>
      <c r="B56">
        <v>2.23</v>
      </c>
      <c r="C56">
        <v>2.17</v>
      </c>
      <c r="D56" t="s">
        <v>283</v>
      </c>
    </row>
    <row r="57" spans="1:4" x14ac:dyDescent="0.3">
      <c r="A57">
        <v>1</v>
      </c>
      <c r="B57">
        <v>2.23</v>
      </c>
      <c r="C57">
        <v>2.17</v>
      </c>
      <c r="D57" t="s">
        <v>283</v>
      </c>
    </row>
    <row r="58" spans="1:4" x14ac:dyDescent="0.3">
      <c r="A58">
        <v>1</v>
      </c>
      <c r="B58">
        <v>2.23</v>
      </c>
      <c r="C58">
        <v>2.17</v>
      </c>
      <c r="D58" t="s">
        <v>283</v>
      </c>
    </row>
    <row r="59" spans="1:4" x14ac:dyDescent="0.3">
      <c r="A59">
        <v>1</v>
      </c>
      <c r="B59">
        <v>2.23</v>
      </c>
      <c r="C59">
        <v>2.17</v>
      </c>
      <c r="D59" t="s">
        <v>283</v>
      </c>
    </row>
    <row r="60" spans="1:4" x14ac:dyDescent="0.3">
      <c r="A60">
        <v>1</v>
      </c>
      <c r="B60">
        <v>2.23</v>
      </c>
      <c r="C60">
        <v>2.17</v>
      </c>
      <c r="D60" t="s">
        <v>283</v>
      </c>
    </row>
    <row r="61" spans="1:4" x14ac:dyDescent="0.3">
      <c r="A61">
        <v>1</v>
      </c>
      <c r="B61">
        <v>2.23</v>
      </c>
      <c r="C61">
        <v>2.17</v>
      </c>
      <c r="D61" t="s">
        <v>283</v>
      </c>
    </row>
    <row r="62" spans="1:4" x14ac:dyDescent="0.3">
      <c r="A62">
        <v>1</v>
      </c>
      <c r="B62">
        <v>1.43</v>
      </c>
      <c r="C62">
        <v>1.19</v>
      </c>
      <c r="D62" t="s">
        <v>280</v>
      </c>
    </row>
    <row r="63" spans="1:4" x14ac:dyDescent="0.3">
      <c r="A63">
        <v>1</v>
      </c>
      <c r="B63">
        <v>1.43</v>
      </c>
      <c r="C63">
        <v>1.19</v>
      </c>
      <c r="D63" t="s">
        <v>280</v>
      </c>
    </row>
    <row r="64" spans="1:4" x14ac:dyDescent="0.3">
      <c r="A64">
        <v>1</v>
      </c>
      <c r="B64">
        <v>1.43</v>
      </c>
      <c r="C64">
        <v>1.19</v>
      </c>
      <c r="D64" t="s">
        <v>280</v>
      </c>
    </row>
    <row r="65" spans="1:4" x14ac:dyDescent="0.3">
      <c r="A65">
        <v>1</v>
      </c>
      <c r="B65">
        <v>1.43</v>
      </c>
      <c r="C65">
        <v>1.19</v>
      </c>
      <c r="D65" t="s">
        <v>280</v>
      </c>
    </row>
    <row r="66" spans="1:4" x14ac:dyDescent="0.3">
      <c r="A66">
        <v>1</v>
      </c>
      <c r="B66">
        <v>1.43</v>
      </c>
      <c r="C66">
        <v>1.19</v>
      </c>
      <c r="D66" t="s">
        <v>280</v>
      </c>
    </row>
    <row r="67" spans="1:4" x14ac:dyDescent="0.3">
      <c r="A67">
        <v>1</v>
      </c>
      <c r="B67">
        <v>2.23</v>
      </c>
      <c r="C67">
        <v>2.17</v>
      </c>
      <c r="D67" t="s">
        <v>280</v>
      </c>
    </row>
    <row r="68" spans="1:4" x14ac:dyDescent="0.3">
      <c r="A68">
        <v>1</v>
      </c>
      <c r="B68">
        <v>2.23</v>
      </c>
      <c r="C68">
        <v>2.17</v>
      </c>
      <c r="D68" t="s">
        <v>280</v>
      </c>
    </row>
    <row r="69" spans="1:4" x14ac:dyDescent="0.3">
      <c r="A69">
        <v>1</v>
      </c>
      <c r="B69">
        <v>2.23</v>
      </c>
      <c r="C69">
        <v>2.17</v>
      </c>
      <c r="D69" t="s">
        <v>280</v>
      </c>
    </row>
    <row r="70" spans="1:4" x14ac:dyDescent="0.3">
      <c r="A70">
        <v>1</v>
      </c>
      <c r="B70">
        <v>2.23</v>
      </c>
      <c r="C70">
        <v>2.17</v>
      </c>
      <c r="D70" t="s">
        <v>280</v>
      </c>
    </row>
    <row r="71" spans="1:4" x14ac:dyDescent="0.3">
      <c r="A71">
        <v>1</v>
      </c>
      <c r="B71">
        <v>2.23</v>
      </c>
      <c r="C71">
        <v>2.17</v>
      </c>
      <c r="D71" t="s">
        <v>280</v>
      </c>
    </row>
    <row r="72" spans="1:4" x14ac:dyDescent="0.3">
      <c r="A72">
        <v>1</v>
      </c>
      <c r="B72">
        <v>2.23</v>
      </c>
      <c r="C72">
        <v>2.17</v>
      </c>
      <c r="D72" t="s">
        <v>280</v>
      </c>
    </row>
    <row r="73" spans="1:4" x14ac:dyDescent="0.3">
      <c r="A73">
        <v>1</v>
      </c>
      <c r="B73">
        <v>2.23</v>
      </c>
      <c r="C73">
        <v>2.17</v>
      </c>
      <c r="D73" t="s">
        <v>280</v>
      </c>
    </row>
    <row r="74" spans="1:4" x14ac:dyDescent="0.3">
      <c r="A74">
        <v>1</v>
      </c>
      <c r="B74">
        <v>2.23</v>
      </c>
      <c r="C74">
        <v>2.17</v>
      </c>
      <c r="D74" t="s">
        <v>280</v>
      </c>
    </row>
    <row r="75" spans="1:4" x14ac:dyDescent="0.3">
      <c r="A75">
        <v>1</v>
      </c>
      <c r="B75">
        <v>2.23</v>
      </c>
      <c r="C75">
        <v>2.17</v>
      </c>
      <c r="D75" t="s">
        <v>282</v>
      </c>
    </row>
    <row r="76" spans="1:4" x14ac:dyDescent="0.3">
      <c r="A76">
        <v>1</v>
      </c>
      <c r="B76">
        <v>1.43</v>
      </c>
      <c r="C76">
        <v>1.19</v>
      </c>
      <c r="D76" t="s">
        <v>282</v>
      </c>
    </row>
    <row r="77" spans="1:4" x14ac:dyDescent="0.3">
      <c r="A77">
        <v>1</v>
      </c>
      <c r="B77">
        <v>2.23</v>
      </c>
      <c r="C77">
        <v>2.17</v>
      </c>
      <c r="D77" t="s">
        <v>281</v>
      </c>
    </row>
    <row r="78" spans="1:4" x14ac:dyDescent="0.3">
      <c r="A78">
        <v>1</v>
      </c>
      <c r="B78">
        <v>2.23</v>
      </c>
      <c r="C78">
        <v>2.17</v>
      </c>
      <c r="D78" t="s">
        <v>281</v>
      </c>
    </row>
    <row r="79" spans="1:4" x14ac:dyDescent="0.3">
      <c r="A79">
        <v>1</v>
      </c>
      <c r="B79">
        <v>2.23</v>
      </c>
      <c r="C79">
        <v>2.17</v>
      </c>
      <c r="D79" t="s">
        <v>281</v>
      </c>
    </row>
    <row r="80" spans="1:4" x14ac:dyDescent="0.3">
      <c r="A80">
        <v>1</v>
      </c>
      <c r="B80">
        <v>2.23</v>
      </c>
      <c r="C80">
        <v>2.17</v>
      </c>
      <c r="D80" t="s">
        <v>281</v>
      </c>
    </row>
    <row r="81" spans="1:4" x14ac:dyDescent="0.3">
      <c r="A81">
        <v>1</v>
      </c>
      <c r="B81">
        <v>1.43</v>
      </c>
      <c r="C81">
        <v>1.19</v>
      </c>
      <c r="D81" t="s">
        <v>282</v>
      </c>
    </row>
    <row r="82" spans="1:4" x14ac:dyDescent="0.3">
      <c r="A82">
        <v>1</v>
      </c>
      <c r="B82">
        <v>1.43</v>
      </c>
      <c r="C82">
        <v>1.19</v>
      </c>
      <c r="D82" t="s">
        <v>282</v>
      </c>
    </row>
    <row r="83" spans="1:4" x14ac:dyDescent="0.3">
      <c r="A83">
        <v>1</v>
      </c>
      <c r="B83">
        <v>1.43</v>
      </c>
      <c r="C83">
        <v>1.19</v>
      </c>
      <c r="D83" t="s">
        <v>282</v>
      </c>
    </row>
    <row r="84" spans="1:4" x14ac:dyDescent="0.3">
      <c r="A84">
        <v>1</v>
      </c>
      <c r="B84">
        <v>1.43</v>
      </c>
      <c r="C84">
        <v>1.19</v>
      </c>
      <c r="D84" t="s">
        <v>283</v>
      </c>
    </row>
    <row r="85" spans="1:4" x14ac:dyDescent="0.3">
      <c r="A85">
        <v>1</v>
      </c>
      <c r="B85">
        <v>1.43</v>
      </c>
      <c r="C85">
        <v>1.19</v>
      </c>
      <c r="D85" t="s">
        <v>283</v>
      </c>
    </row>
    <row r="86" spans="1:4" x14ac:dyDescent="0.3">
      <c r="A86">
        <v>1</v>
      </c>
      <c r="B86">
        <v>1.43</v>
      </c>
      <c r="C86">
        <v>1.19</v>
      </c>
      <c r="D86" t="s">
        <v>283</v>
      </c>
    </row>
    <row r="87" spans="1:4" x14ac:dyDescent="0.3">
      <c r="A87">
        <v>1</v>
      </c>
      <c r="B87">
        <v>1.43</v>
      </c>
      <c r="C87">
        <v>1.19</v>
      </c>
      <c r="D87" t="s">
        <v>283</v>
      </c>
    </row>
    <row r="88" spans="1:4" x14ac:dyDescent="0.3">
      <c r="A88">
        <v>1</v>
      </c>
      <c r="B88">
        <v>1.43</v>
      </c>
      <c r="C88">
        <v>1.19</v>
      </c>
      <c r="D88" t="s">
        <v>283</v>
      </c>
    </row>
    <row r="89" spans="1:4" x14ac:dyDescent="0.3">
      <c r="A89">
        <v>1</v>
      </c>
      <c r="B89">
        <v>1.43</v>
      </c>
      <c r="C89">
        <v>1.19</v>
      </c>
      <c r="D89" t="s">
        <v>283</v>
      </c>
    </row>
    <row r="90" spans="1:4" x14ac:dyDescent="0.3">
      <c r="A90">
        <v>1</v>
      </c>
      <c r="B90">
        <v>1.43</v>
      </c>
      <c r="C90">
        <v>1.19</v>
      </c>
      <c r="D90" t="s">
        <v>283</v>
      </c>
    </row>
    <row r="91" spans="1:4" x14ac:dyDescent="0.3">
      <c r="A91">
        <v>1</v>
      </c>
      <c r="B91">
        <v>1.43</v>
      </c>
      <c r="C91">
        <v>1.19</v>
      </c>
      <c r="D91" t="s">
        <v>283</v>
      </c>
    </row>
    <row r="92" spans="1:4" x14ac:dyDescent="0.3">
      <c r="A92">
        <v>1</v>
      </c>
      <c r="B92">
        <v>2.23</v>
      </c>
      <c r="C92">
        <v>2.17</v>
      </c>
      <c r="D92" t="s">
        <v>283</v>
      </c>
    </row>
    <row r="93" spans="1:4" x14ac:dyDescent="0.3">
      <c r="A93">
        <v>1</v>
      </c>
      <c r="B93">
        <v>2.23</v>
      </c>
      <c r="C93">
        <v>2.17</v>
      </c>
      <c r="D93" t="s">
        <v>283</v>
      </c>
    </row>
    <row r="94" spans="1:4" x14ac:dyDescent="0.3">
      <c r="A94">
        <v>1</v>
      </c>
      <c r="B94">
        <v>2.23</v>
      </c>
      <c r="C94">
        <v>2.17</v>
      </c>
      <c r="D94" t="s">
        <v>283</v>
      </c>
    </row>
    <row r="95" spans="1:4" x14ac:dyDescent="0.3">
      <c r="A95">
        <v>1</v>
      </c>
      <c r="B95">
        <v>2.23</v>
      </c>
      <c r="C95">
        <v>2.17</v>
      </c>
      <c r="D95" t="s">
        <v>283</v>
      </c>
    </row>
    <row r="96" spans="1:4" x14ac:dyDescent="0.3">
      <c r="A96">
        <v>1</v>
      </c>
      <c r="B96">
        <v>2.23</v>
      </c>
      <c r="C96">
        <v>2.17</v>
      </c>
      <c r="D96" t="s">
        <v>283</v>
      </c>
    </row>
    <row r="97" spans="1:4" x14ac:dyDescent="0.3">
      <c r="A97">
        <v>1</v>
      </c>
      <c r="B97">
        <v>2.23</v>
      </c>
      <c r="C97">
        <v>2.17</v>
      </c>
      <c r="D97" t="s">
        <v>283</v>
      </c>
    </row>
    <row r="98" spans="1:4" x14ac:dyDescent="0.3">
      <c r="A98">
        <v>1</v>
      </c>
      <c r="B98">
        <v>1.43</v>
      </c>
      <c r="C98">
        <v>1.19</v>
      </c>
      <c r="D98" t="s">
        <v>280</v>
      </c>
    </row>
    <row r="99" spans="1:4" x14ac:dyDescent="0.3">
      <c r="A99">
        <v>1</v>
      </c>
      <c r="B99">
        <v>1.43</v>
      </c>
      <c r="C99">
        <v>1.19</v>
      </c>
      <c r="D99" t="s">
        <v>280</v>
      </c>
    </row>
    <row r="100" spans="1:4" x14ac:dyDescent="0.3">
      <c r="A100">
        <v>1</v>
      </c>
      <c r="B100">
        <v>1.43</v>
      </c>
      <c r="C100">
        <v>1.19</v>
      </c>
      <c r="D100" t="s">
        <v>280</v>
      </c>
    </row>
    <row r="101" spans="1:4" x14ac:dyDescent="0.3">
      <c r="A101">
        <v>1</v>
      </c>
      <c r="B101">
        <v>1.43</v>
      </c>
      <c r="C101">
        <v>1.19</v>
      </c>
      <c r="D101" t="s">
        <v>280</v>
      </c>
    </row>
    <row r="102" spans="1:4" x14ac:dyDescent="0.3">
      <c r="A102">
        <v>1</v>
      </c>
      <c r="B102">
        <v>1.43</v>
      </c>
      <c r="C102">
        <v>1.19</v>
      </c>
      <c r="D102" t="s">
        <v>280</v>
      </c>
    </row>
    <row r="103" spans="1:4" x14ac:dyDescent="0.3">
      <c r="A103">
        <v>1</v>
      </c>
      <c r="B103">
        <v>2.23</v>
      </c>
      <c r="C103">
        <v>2.17</v>
      </c>
      <c r="D103" t="s">
        <v>280</v>
      </c>
    </row>
    <row r="104" spans="1:4" x14ac:dyDescent="0.3">
      <c r="A104">
        <v>1</v>
      </c>
      <c r="B104">
        <v>2.23</v>
      </c>
      <c r="C104">
        <v>2.17</v>
      </c>
      <c r="D104" t="s">
        <v>280</v>
      </c>
    </row>
    <row r="105" spans="1:4" x14ac:dyDescent="0.3">
      <c r="A105">
        <v>1</v>
      </c>
      <c r="B105">
        <v>2.23</v>
      </c>
      <c r="C105">
        <v>2.17</v>
      </c>
      <c r="D105" t="s">
        <v>280</v>
      </c>
    </row>
    <row r="106" spans="1:4" x14ac:dyDescent="0.3">
      <c r="A106">
        <v>1</v>
      </c>
      <c r="B106">
        <v>2.23</v>
      </c>
      <c r="C106">
        <v>2.17</v>
      </c>
      <c r="D106" t="s">
        <v>280</v>
      </c>
    </row>
    <row r="107" spans="1:4" x14ac:dyDescent="0.3">
      <c r="A107">
        <v>1</v>
      </c>
      <c r="B107">
        <v>2.23</v>
      </c>
      <c r="C107">
        <v>2.17</v>
      </c>
      <c r="D107" t="s">
        <v>280</v>
      </c>
    </row>
    <row r="108" spans="1:4" x14ac:dyDescent="0.3">
      <c r="A108">
        <v>1</v>
      </c>
      <c r="B108">
        <v>2.23</v>
      </c>
      <c r="C108">
        <v>2.17</v>
      </c>
      <c r="D108" t="s">
        <v>280</v>
      </c>
    </row>
    <row r="109" spans="1:4" x14ac:dyDescent="0.3">
      <c r="A109">
        <v>1</v>
      </c>
      <c r="B109">
        <v>2.23</v>
      </c>
      <c r="C109">
        <v>2.17</v>
      </c>
      <c r="D109" t="s">
        <v>280</v>
      </c>
    </row>
    <row r="110" spans="1:4" x14ac:dyDescent="0.3">
      <c r="A110">
        <v>1</v>
      </c>
      <c r="B110">
        <v>2.23</v>
      </c>
      <c r="C110">
        <v>2.17</v>
      </c>
      <c r="D110" t="s">
        <v>280</v>
      </c>
    </row>
    <row r="111" spans="1:4" x14ac:dyDescent="0.3">
      <c r="A111">
        <v>1</v>
      </c>
      <c r="B111">
        <v>2.23</v>
      </c>
      <c r="C111">
        <v>2.17</v>
      </c>
      <c r="D111" t="s">
        <v>282</v>
      </c>
    </row>
    <row r="112" spans="1:4" x14ac:dyDescent="0.3">
      <c r="A112">
        <v>1</v>
      </c>
      <c r="B112">
        <v>1.43</v>
      </c>
      <c r="C112">
        <v>1.19</v>
      </c>
      <c r="D112" t="s">
        <v>282</v>
      </c>
    </row>
    <row r="113" spans="1:4" x14ac:dyDescent="0.3">
      <c r="A113">
        <v>1</v>
      </c>
      <c r="B113">
        <v>2.23</v>
      </c>
      <c r="C113">
        <v>2.17</v>
      </c>
      <c r="D113" t="s">
        <v>281</v>
      </c>
    </row>
    <row r="114" spans="1:4" x14ac:dyDescent="0.3">
      <c r="A114">
        <v>1</v>
      </c>
      <c r="B114">
        <v>2.23</v>
      </c>
      <c r="C114">
        <v>2.17</v>
      </c>
      <c r="D114" t="s">
        <v>281</v>
      </c>
    </row>
    <row r="115" spans="1:4" x14ac:dyDescent="0.3">
      <c r="A115">
        <v>1</v>
      </c>
      <c r="B115">
        <v>2.23</v>
      </c>
      <c r="C115">
        <v>2.17</v>
      </c>
      <c r="D115" t="s">
        <v>281</v>
      </c>
    </row>
    <row r="116" spans="1:4" x14ac:dyDescent="0.3">
      <c r="A116">
        <v>1</v>
      </c>
      <c r="B116">
        <v>2.23</v>
      </c>
      <c r="C116">
        <v>2.17</v>
      </c>
      <c r="D116" t="s">
        <v>281</v>
      </c>
    </row>
    <row r="117" spans="1:4" x14ac:dyDescent="0.3">
      <c r="A117">
        <v>1</v>
      </c>
      <c r="B117">
        <v>1.43</v>
      </c>
      <c r="C117">
        <v>1.19</v>
      </c>
      <c r="D117" t="s">
        <v>282</v>
      </c>
    </row>
    <row r="118" spans="1:4" x14ac:dyDescent="0.3">
      <c r="A118">
        <v>1</v>
      </c>
      <c r="B118">
        <v>1.43</v>
      </c>
      <c r="C118">
        <v>1.19</v>
      </c>
      <c r="D118" t="s">
        <v>282</v>
      </c>
    </row>
    <row r="119" spans="1:4" x14ac:dyDescent="0.3">
      <c r="A119">
        <v>1</v>
      </c>
      <c r="B119">
        <v>1.43</v>
      </c>
      <c r="C119">
        <v>1.19</v>
      </c>
      <c r="D119" t="s">
        <v>282</v>
      </c>
    </row>
    <row r="120" spans="1:4" x14ac:dyDescent="0.3">
      <c r="A120">
        <v>1</v>
      </c>
      <c r="B120">
        <v>1.43</v>
      </c>
      <c r="C120">
        <v>1.19</v>
      </c>
      <c r="D120" t="s">
        <v>283</v>
      </c>
    </row>
    <row r="121" spans="1:4" x14ac:dyDescent="0.3">
      <c r="A121">
        <v>1</v>
      </c>
      <c r="B121">
        <v>1.43</v>
      </c>
      <c r="C121">
        <v>1.19</v>
      </c>
      <c r="D121" t="s">
        <v>283</v>
      </c>
    </row>
    <row r="122" spans="1:4" x14ac:dyDescent="0.3">
      <c r="A122">
        <v>1</v>
      </c>
      <c r="B122">
        <v>1.43</v>
      </c>
      <c r="C122">
        <v>1.19</v>
      </c>
      <c r="D122" t="s">
        <v>283</v>
      </c>
    </row>
    <row r="123" spans="1:4" x14ac:dyDescent="0.3">
      <c r="A123">
        <v>1</v>
      </c>
      <c r="B123">
        <v>1.43</v>
      </c>
      <c r="C123">
        <v>1.19</v>
      </c>
      <c r="D123" t="s">
        <v>283</v>
      </c>
    </row>
    <row r="124" spans="1:4" x14ac:dyDescent="0.3">
      <c r="A124">
        <v>1</v>
      </c>
      <c r="B124">
        <v>1.43</v>
      </c>
      <c r="C124">
        <v>1.19</v>
      </c>
      <c r="D124" t="s">
        <v>283</v>
      </c>
    </row>
    <row r="125" spans="1:4" x14ac:dyDescent="0.3">
      <c r="A125">
        <v>1</v>
      </c>
      <c r="B125">
        <v>1.43</v>
      </c>
      <c r="C125">
        <v>1.19</v>
      </c>
      <c r="D125" t="s">
        <v>283</v>
      </c>
    </row>
    <row r="126" spans="1:4" x14ac:dyDescent="0.3">
      <c r="A126">
        <v>1</v>
      </c>
      <c r="B126">
        <v>1.43</v>
      </c>
      <c r="C126">
        <v>1.19</v>
      </c>
      <c r="D126" t="s">
        <v>283</v>
      </c>
    </row>
    <row r="127" spans="1:4" x14ac:dyDescent="0.3">
      <c r="A127">
        <v>1</v>
      </c>
      <c r="B127">
        <v>1.43</v>
      </c>
      <c r="C127">
        <v>1.19</v>
      </c>
      <c r="D127" t="s">
        <v>283</v>
      </c>
    </row>
    <row r="128" spans="1:4" x14ac:dyDescent="0.3">
      <c r="A128">
        <v>1</v>
      </c>
      <c r="B128">
        <v>2.23</v>
      </c>
      <c r="C128">
        <v>2.17</v>
      </c>
      <c r="D128" t="s">
        <v>283</v>
      </c>
    </row>
    <row r="129" spans="1:4" x14ac:dyDescent="0.3">
      <c r="A129">
        <v>1</v>
      </c>
      <c r="B129">
        <v>2.23</v>
      </c>
      <c r="C129">
        <v>2.17</v>
      </c>
      <c r="D129" t="s">
        <v>283</v>
      </c>
    </row>
    <row r="130" spans="1:4" x14ac:dyDescent="0.3">
      <c r="A130">
        <v>1</v>
      </c>
      <c r="B130">
        <v>2.23</v>
      </c>
      <c r="C130">
        <v>2.17</v>
      </c>
      <c r="D130" t="s">
        <v>283</v>
      </c>
    </row>
    <row r="131" spans="1:4" x14ac:dyDescent="0.3">
      <c r="A131">
        <v>1</v>
      </c>
      <c r="B131">
        <v>2.23</v>
      </c>
      <c r="C131">
        <v>2.17</v>
      </c>
      <c r="D131" t="s">
        <v>283</v>
      </c>
    </row>
    <row r="132" spans="1:4" x14ac:dyDescent="0.3">
      <c r="A132">
        <v>1</v>
      </c>
      <c r="B132">
        <v>2.23</v>
      </c>
      <c r="C132">
        <v>2.17</v>
      </c>
      <c r="D132" t="s">
        <v>283</v>
      </c>
    </row>
    <row r="133" spans="1:4" x14ac:dyDescent="0.3">
      <c r="A133">
        <v>1</v>
      </c>
      <c r="B133">
        <v>2.23</v>
      </c>
      <c r="C133">
        <v>2.17</v>
      </c>
      <c r="D133" t="s">
        <v>283</v>
      </c>
    </row>
    <row r="134" spans="1:4" x14ac:dyDescent="0.3">
      <c r="A134">
        <v>1</v>
      </c>
      <c r="B134">
        <v>1.43</v>
      </c>
      <c r="C134">
        <v>1.19</v>
      </c>
      <c r="D134" t="s">
        <v>280</v>
      </c>
    </row>
    <row r="135" spans="1:4" x14ac:dyDescent="0.3">
      <c r="A135">
        <v>1</v>
      </c>
      <c r="B135">
        <v>1.43</v>
      </c>
      <c r="C135">
        <v>1.19</v>
      </c>
      <c r="D135" t="s">
        <v>280</v>
      </c>
    </row>
    <row r="136" spans="1:4" x14ac:dyDescent="0.3">
      <c r="A136">
        <v>1</v>
      </c>
      <c r="B136">
        <v>1.43</v>
      </c>
      <c r="C136">
        <v>1.19</v>
      </c>
      <c r="D136" t="s">
        <v>280</v>
      </c>
    </row>
    <row r="137" spans="1:4" x14ac:dyDescent="0.3">
      <c r="A137">
        <v>1</v>
      </c>
      <c r="B137">
        <v>1.43</v>
      </c>
      <c r="C137">
        <v>1.19</v>
      </c>
      <c r="D137" t="s">
        <v>280</v>
      </c>
    </row>
    <row r="138" spans="1:4" x14ac:dyDescent="0.3">
      <c r="A138">
        <v>1</v>
      </c>
      <c r="B138">
        <v>1.43</v>
      </c>
      <c r="C138">
        <v>1.19</v>
      </c>
      <c r="D138" t="s">
        <v>280</v>
      </c>
    </row>
    <row r="139" spans="1:4" x14ac:dyDescent="0.3">
      <c r="A139">
        <v>1</v>
      </c>
      <c r="B139">
        <v>2.23</v>
      </c>
      <c r="C139">
        <v>2.17</v>
      </c>
      <c r="D139" t="s">
        <v>280</v>
      </c>
    </row>
    <row r="140" spans="1:4" x14ac:dyDescent="0.3">
      <c r="A140">
        <v>1</v>
      </c>
      <c r="B140">
        <v>2.23</v>
      </c>
      <c r="C140">
        <v>2.17</v>
      </c>
      <c r="D140" t="s">
        <v>280</v>
      </c>
    </row>
    <row r="141" spans="1:4" x14ac:dyDescent="0.3">
      <c r="A141">
        <v>1</v>
      </c>
      <c r="B141">
        <v>2.23</v>
      </c>
      <c r="C141">
        <v>2.17</v>
      </c>
      <c r="D141" t="s">
        <v>280</v>
      </c>
    </row>
    <row r="142" spans="1:4" x14ac:dyDescent="0.3">
      <c r="A142">
        <v>1</v>
      </c>
      <c r="B142">
        <v>2.23</v>
      </c>
      <c r="C142">
        <v>2.17</v>
      </c>
      <c r="D142" t="s">
        <v>280</v>
      </c>
    </row>
    <row r="143" spans="1:4" x14ac:dyDescent="0.3">
      <c r="A143">
        <v>1</v>
      </c>
      <c r="B143">
        <v>2.23</v>
      </c>
      <c r="C143">
        <v>2.17</v>
      </c>
      <c r="D143" t="s">
        <v>280</v>
      </c>
    </row>
    <row r="144" spans="1:4" x14ac:dyDescent="0.3">
      <c r="A144">
        <v>1</v>
      </c>
      <c r="B144">
        <v>2.23</v>
      </c>
      <c r="C144">
        <v>2.17</v>
      </c>
      <c r="D144" t="s">
        <v>280</v>
      </c>
    </row>
    <row r="145" spans="1:4" x14ac:dyDescent="0.3">
      <c r="A145">
        <v>1</v>
      </c>
      <c r="B145">
        <v>2.23</v>
      </c>
      <c r="C145">
        <v>2.17</v>
      </c>
      <c r="D145" t="s">
        <v>280</v>
      </c>
    </row>
    <row r="146" spans="1:4" x14ac:dyDescent="0.3">
      <c r="A146">
        <v>1</v>
      </c>
      <c r="B146">
        <v>2.23</v>
      </c>
      <c r="C146">
        <v>2.17</v>
      </c>
      <c r="D146" t="s">
        <v>280</v>
      </c>
    </row>
    <row r="147" spans="1:4" x14ac:dyDescent="0.3">
      <c r="A147">
        <v>1</v>
      </c>
      <c r="B147">
        <v>2.23</v>
      </c>
      <c r="C147">
        <v>2.17</v>
      </c>
      <c r="D147" t="s">
        <v>282</v>
      </c>
    </row>
    <row r="148" spans="1:4" x14ac:dyDescent="0.3">
      <c r="A148">
        <v>1</v>
      </c>
      <c r="B148">
        <v>1.43</v>
      </c>
      <c r="C148">
        <v>1.19</v>
      </c>
      <c r="D148" t="s">
        <v>282</v>
      </c>
    </row>
    <row r="149" spans="1:4" x14ac:dyDescent="0.3">
      <c r="A149">
        <v>1</v>
      </c>
      <c r="B149">
        <v>2.23</v>
      </c>
      <c r="C149">
        <v>2.17</v>
      </c>
      <c r="D149" t="s">
        <v>281</v>
      </c>
    </row>
    <row r="150" spans="1:4" x14ac:dyDescent="0.3">
      <c r="A150">
        <v>1</v>
      </c>
      <c r="B150">
        <v>2.23</v>
      </c>
      <c r="C150">
        <v>2.17</v>
      </c>
      <c r="D150" t="s">
        <v>281</v>
      </c>
    </row>
    <row r="151" spans="1:4" x14ac:dyDescent="0.3">
      <c r="A151">
        <v>1</v>
      </c>
      <c r="B151">
        <v>2.23</v>
      </c>
      <c r="C151">
        <v>2.17</v>
      </c>
      <c r="D151" t="s">
        <v>281</v>
      </c>
    </row>
    <row r="152" spans="1:4" x14ac:dyDescent="0.3">
      <c r="A152">
        <v>1</v>
      </c>
      <c r="B152">
        <v>2.23</v>
      </c>
      <c r="C152">
        <v>2.17</v>
      </c>
      <c r="D152" t="s">
        <v>281</v>
      </c>
    </row>
    <row r="153" spans="1:4" x14ac:dyDescent="0.3">
      <c r="A153">
        <v>1</v>
      </c>
      <c r="B153">
        <v>1.43</v>
      </c>
      <c r="C153">
        <v>1.19</v>
      </c>
      <c r="D153" t="s">
        <v>282</v>
      </c>
    </row>
    <row r="154" spans="1:4" x14ac:dyDescent="0.3">
      <c r="A154">
        <v>1</v>
      </c>
      <c r="B154">
        <v>1.43</v>
      </c>
      <c r="C154">
        <v>1.19</v>
      </c>
      <c r="D154" t="s">
        <v>282</v>
      </c>
    </row>
    <row r="155" spans="1:4" x14ac:dyDescent="0.3">
      <c r="A155">
        <v>1</v>
      </c>
      <c r="B155">
        <v>1.43</v>
      </c>
      <c r="C155">
        <v>1.19</v>
      </c>
      <c r="D155" t="s">
        <v>282</v>
      </c>
    </row>
    <row r="156" spans="1:4" x14ac:dyDescent="0.3">
      <c r="A156">
        <v>1</v>
      </c>
      <c r="B156">
        <v>1.43</v>
      </c>
      <c r="C156">
        <v>1.19</v>
      </c>
      <c r="D156" t="s">
        <v>283</v>
      </c>
    </row>
    <row r="157" spans="1:4" x14ac:dyDescent="0.3">
      <c r="A157">
        <v>1</v>
      </c>
      <c r="B157">
        <v>1.43</v>
      </c>
      <c r="C157">
        <v>1.19</v>
      </c>
      <c r="D157" t="s">
        <v>283</v>
      </c>
    </row>
    <row r="158" spans="1:4" x14ac:dyDescent="0.3">
      <c r="A158">
        <v>1</v>
      </c>
      <c r="B158">
        <v>1.43</v>
      </c>
      <c r="C158">
        <v>1.19</v>
      </c>
      <c r="D158" t="s">
        <v>283</v>
      </c>
    </row>
    <row r="159" spans="1:4" x14ac:dyDescent="0.3">
      <c r="A159">
        <v>1</v>
      </c>
      <c r="B159">
        <v>1.43</v>
      </c>
      <c r="C159">
        <v>1.19</v>
      </c>
      <c r="D159" t="s">
        <v>283</v>
      </c>
    </row>
    <row r="160" spans="1:4" x14ac:dyDescent="0.3">
      <c r="A160">
        <v>1</v>
      </c>
      <c r="B160">
        <v>1.43</v>
      </c>
      <c r="C160">
        <v>1.19</v>
      </c>
      <c r="D160" t="s">
        <v>283</v>
      </c>
    </row>
    <row r="161" spans="1:4" x14ac:dyDescent="0.3">
      <c r="A161">
        <v>1</v>
      </c>
      <c r="B161">
        <v>1.43</v>
      </c>
      <c r="C161">
        <v>1.19</v>
      </c>
      <c r="D161" t="s">
        <v>283</v>
      </c>
    </row>
    <row r="162" spans="1:4" x14ac:dyDescent="0.3">
      <c r="A162">
        <v>1</v>
      </c>
      <c r="B162">
        <v>1.43</v>
      </c>
      <c r="C162">
        <v>1.19</v>
      </c>
      <c r="D162" t="s">
        <v>283</v>
      </c>
    </row>
    <row r="163" spans="1:4" x14ac:dyDescent="0.3">
      <c r="A163">
        <v>1</v>
      </c>
      <c r="B163">
        <v>1.43</v>
      </c>
      <c r="C163">
        <v>1.19</v>
      </c>
      <c r="D163" t="s">
        <v>283</v>
      </c>
    </row>
    <row r="164" spans="1:4" x14ac:dyDescent="0.3">
      <c r="A164">
        <v>1</v>
      </c>
      <c r="B164">
        <v>2.23</v>
      </c>
      <c r="C164">
        <v>2.17</v>
      </c>
      <c r="D164" t="s">
        <v>283</v>
      </c>
    </row>
    <row r="165" spans="1:4" x14ac:dyDescent="0.3">
      <c r="A165">
        <v>1</v>
      </c>
      <c r="B165">
        <v>2.23</v>
      </c>
      <c r="C165">
        <v>2.17</v>
      </c>
      <c r="D165" t="s">
        <v>283</v>
      </c>
    </row>
    <row r="166" spans="1:4" x14ac:dyDescent="0.3">
      <c r="A166">
        <v>1</v>
      </c>
      <c r="B166">
        <v>2.23</v>
      </c>
      <c r="C166">
        <v>2.17</v>
      </c>
      <c r="D166" t="s">
        <v>283</v>
      </c>
    </row>
    <row r="167" spans="1:4" x14ac:dyDescent="0.3">
      <c r="A167">
        <v>1</v>
      </c>
      <c r="B167">
        <v>2.23</v>
      </c>
      <c r="C167">
        <v>2.17</v>
      </c>
      <c r="D167" t="s">
        <v>283</v>
      </c>
    </row>
    <row r="168" spans="1:4" x14ac:dyDescent="0.3">
      <c r="A168">
        <v>1</v>
      </c>
      <c r="B168">
        <v>2.23</v>
      </c>
      <c r="C168">
        <v>2.17</v>
      </c>
      <c r="D168" t="s">
        <v>283</v>
      </c>
    </row>
    <row r="169" spans="1:4" x14ac:dyDescent="0.3">
      <c r="A169">
        <v>1</v>
      </c>
      <c r="B169">
        <v>2.23</v>
      </c>
      <c r="C169">
        <v>2.17</v>
      </c>
      <c r="D169" t="s">
        <v>283</v>
      </c>
    </row>
    <row r="170" spans="1:4" x14ac:dyDescent="0.3">
      <c r="A170">
        <v>1</v>
      </c>
      <c r="B170">
        <v>1.43</v>
      </c>
      <c r="C170">
        <v>1.19</v>
      </c>
      <c r="D170" t="s">
        <v>280</v>
      </c>
    </row>
    <row r="171" spans="1:4" x14ac:dyDescent="0.3">
      <c r="A171">
        <v>1</v>
      </c>
      <c r="B171">
        <v>1.43</v>
      </c>
      <c r="C171">
        <v>1.19</v>
      </c>
      <c r="D171" t="s">
        <v>280</v>
      </c>
    </row>
    <row r="172" spans="1:4" x14ac:dyDescent="0.3">
      <c r="A172">
        <v>1</v>
      </c>
      <c r="B172">
        <v>1.43</v>
      </c>
      <c r="C172">
        <v>1.19</v>
      </c>
      <c r="D172" t="s">
        <v>280</v>
      </c>
    </row>
    <row r="173" spans="1:4" x14ac:dyDescent="0.3">
      <c r="A173">
        <v>1</v>
      </c>
      <c r="B173">
        <v>1.43</v>
      </c>
      <c r="C173">
        <v>1.19</v>
      </c>
      <c r="D173" t="s">
        <v>280</v>
      </c>
    </row>
    <row r="174" spans="1:4" x14ac:dyDescent="0.3">
      <c r="A174">
        <v>1</v>
      </c>
      <c r="B174">
        <v>1.43</v>
      </c>
      <c r="C174">
        <v>1.19</v>
      </c>
      <c r="D174" t="s">
        <v>280</v>
      </c>
    </row>
    <row r="175" spans="1:4" x14ac:dyDescent="0.3">
      <c r="A175">
        <v>1</v>
      </c>
      <c r="B175">
        <v>2.23</v>
      </c>
      <c r="C175">
        <v>2.17</v>
      </c>
      <c r="D175" t="s">
        <v>280</v>
      </c>
    </row>
    <row r="176" spans="1:4" x14ac:dyDescent="0.3">
      <c r="A176">
        <v>1</v>
      </c>
      <c r="B176">
        <v>2.23</v>
      </c>
      <c r="C176">
        <v>2.17</v>
      </c>
      <c r="D176" t="s">
        <v>280</v>
      </c>
    </row>
    <row r="177" spans="1:4" x14ac:dyDescent="0.3">
      <c r="A177">
        <v>1</v>
      </c>
      <c r="B177">
        <v>2.23</v>
      </c>
      <c r="C177">
        <v>2.17</v>
      </c>
      <c r="D177" t="s">
        <v>280</v>
      </c>
    </row>
    <row r="178" spans="1:4" x14ac:dyDescent="0.3">
      <c r="A178">
        <v>1</v>
      </c>
      <c r="B178">
        <v>2.23</v>
      </c>
      <c r="C178">
        <v>2.17</v>
      </c>
      <c r="D178" t="s">
        <v>280</v>
      </c>
    </row>
    <row r="179" spans="1:4" x14ac:dyDescent="0.3">
      <c r="A179">
        <v>1</v>
      </c>
      <c r="B179">
        <v>2.23</v>
      </c>
      <c r="C179">
        <v>2.17</v>
      </c>
      <c r="D179" t="s">
        <v>280</v>
      </c>
    </row>
    <row r="180" spans="1:4" x14ac:dyDescent="0.3">
      <c r="A180">
        <v>1</v>
      </c>
      <c r="B180">
        <v>2.23</v>
      </c>
      <c r="C180">
        <v>2.17</v>
      </c>
      <c r="D180" t="s">
        <v>280</v>
      </c>
    </row>
    <row r="181" spans="1:4" x14ac:dyDescent="0.3">
      <c r="A181">
        <v>1</v>
      </c>
      <c r="B181">
        <v>2.23</v>
      </c>
      <c r="C181">
        <v>2.17</v>
      </c>
      <c r="D181" t="s">
        <v>280</v>
      </c>
    </row>
    <row r="182" spans="1:4" x14ac:dyDescent="0.3">
      <c r="A182">
        <v>1</v>
      </c>
      <c r="B182">
        <v>2.23</v>
      </c>
      <c r="C182">
        <v>2.17</v>
      </c>
      <c r="D182" t="s">
        <v>280</v>
      </c>
    </row>
    <row r="183" spans="1:4" x14ac:dyDescent="0.3">
      <c r="A183">
        <v>1</v>
      </c>
      <c r="B183">
        <v>2.23</v>
      </c>
      <c r="C183">
        <v>2.17</v>
      </c>
      <c r="D183" t="s">
        <v>282</v>
      </c>
    </row>
    <row r="184" spans="1:4" x14ac:dyDescent="0.3">
      <c r="A184">
        <v>1</v>
      </c>
      <c r="B184">
        <v>1.43</v>
      </c>
      <c r="C184">
        <v>1.19</v>
      </c>
      <c r="D184" t="s">
        <v>282</v>
      </c>
    </row>
    <row r="185" spans="1:4" x14ac:dyDescent="0.3">
      <c r="A185">
        <v>1</v>
      </c>
      <c r="B185">
        <v>2.23</v>
      </c>
      <c r="C185">
        <v>2.17</v>
      </c>
      <c r="D185" t="s">
        <v>281</v>
      </c>
    </row>
    <row r="186" spans="1:4" x14ac:dyDescent="0.3">
      <c r="A186">
        <v>1</v>
      </c>
      <c r="B186">
        <v>2.23</v>
      </c>
      <c r="C186">
        <v>2.17</v>
      </c>
      <c r="D186" t="s">
        <v>281</v>
      </c>
    </row>
    <row r="187" spans="1:4" x14ac:dyDescent="0.3">
      <c r="A187">
        <v>1</v>
      </c>
      <c r="B187">
        <v>2.23</v>
      </c>
      <c r="C187">
        <v>2.17</v>
      </c>
      <c r="D187" t="s">
        <v>281</v>
      </c>
    </row>
    <row r="188" spans="1:4" x14ac:dyDescent="0.3">
      <c r="A188">
        <v>1</v>
      </c>
      <c r="B188">
        <v>2.23</v>
      </c>
      <c r="C188">
        <v>2.17</v>
      </c>
      <c r="D188" t="s">
        <v>281</v>
      </c>
    </row>
    <row r="189" spans="1:4" x14ac:dyDescent="0.3">
      <c r="A189">
        <v>1</v>
      </c>
      <c r="B189">
        <v>1.43</v>
      </c>
      <c r="C189">
        <v>1.19</v>
      </c>
      <c r="D189" t="s">
        <v>282</v>
      </c>
    </row>
    <row r="190" spans="1:4" x14ac:dyDescent="0.3">
      <c r="A190">
        <v>1</v>
      </c>
      <c r="B190">
        <v>1.43</v>
      </c>
      <c r="C190">
        <v>1.19</v>
      </c>
      <c r="D190" t="s">
        <v>282</v>
      </c>
    </row>
    <row r="191" spans="1:4" x14ac:dyDescent="0.3">
      <c r="A191">
        <v>1</v>
      </c>
      <c r="B191">
        <v>1.43</v>
      </c>
      <c r="C191">
        <v>1.19</v>
      </c>
      <c r="D191" t="s">
        <v>282</v>
      </c>
    </row>
    <row r="192" spans="1:4" x14ac:dyDescent="0.3">
      <c r="A192">
        <v>1</v>
      </c>
      <c r="B192">
        <v>1.43</v>
      </c>
      <c r="C192">
        <v>1.19</v>
      </c>
      <c r="D192" t="s">
        <v>283</v>
      </c>
    </row>
    <row r="193" spans="1:4" x14ac:dyDescent="0.3">
      <c r="A193">
        <v>1</v>
      </c>
      <c r="B193">
        <v>1.43</v>
      </c>
      <c r="C193">
        <v>1.19</v>
      </c>
      <c r="D193" t="s">
        <v>283</v>
      </c>
    </row>
    <row r="194" spans="1:4" x14ac:dyDescent="0.3">
      <c r="A194">
        <v>1</v>
      </c>
      <c r="B194">
        <v>1.43</v>
      </c>
      <c r="C194">
        <v>1.19</v>
      </c>
      <c r="D194" t="s">
        <v>283</v>
      </c>
    </row>
    <row r="195" spans="1:4" x14ac:dyDescent="0.3">
      <c r="A195">
        <v>1</v>
      </c>
      <c r="B195">
        <v>1.43</v>
      </c>
      <c r="C195">
        <v>1.19</v>
      </c>
      <c r="D195" t="s">
        <v>283</v>
      </c>
    </row>
    <row r="196" spans="1:4" x14ac:dyDescent="0.3">
      <c r="A196">
        <v>1</v>
      </c>
      <c r="B196">
        <v>1.43</v>
      </c>
      <c r="C196">
        <v>1.19</v>
      </c>
      <c r="D196" t="s">
        <v>283</v>
      </c>
    </row>
    <row r="197" spans="1:4" x14ac:dyDescent="0.3">
      <c r="A197">
        <v>1</v>
      </c>
      <c r="B197">
        <v>1.43</v>
      </c>
      <c r="C197">
        <v>1.19</v>
      </c>
      <c r="D197" t="s">
        <v>283</v>
      </c>
    </row>
    <row r="198" spans="1:4" x14ac:dyDescent="0.3">
      <c r="A198">
        <v>1</v>
      </c>
      <c r="B198">
        <v>1.43</v>
      </c>
      <c r="C198">
        <v>1.19</v>
      </c>
      <c r="D198" t="s">
        <v>283</v>
      </c>
    </row>
    <row r="199" spans="1:4" x14ac:dyDescent="0.3">
      <c r="A199">
        <v>1</v>
      </c>
      <c r="B199">
        <v>1.43</v>
      </c>
      <c r="C199">
        <v>1.19</v>
      </c>
      <c r="D199" t="s">
        <v>283</v>
      </c>
    </row>
    <row r="200" spans="1:4" x14ac:dyDescent="0.3">
      <c r="A200">
        <v>1</v>
      </c>
      <c r="B200">
        <v>2.23</v>
      </c>
      <c r="C200">
        <v>2.17</v>
      </c>
      <c r="D200" t="s">
        <v>283</v>
      </c>
    </row>
    <row r="201" spans="1:4" x14ac:dyDescent="0.3">
      <c r="A201">
        <v>1</v>
      </c>
      <c r="B201">
        <v>2.23</v>
      </c>
      <c r="C201">
        <v>2.17</v>
      </c>
      <c r="D201" t="s">
        <v>283</v>
      </c>
    </row>
    <row r="202" spans="1:4" x14ac:dyDescent="0.3">
      <c r="A202">
        <v>1</v>
      </c>
      <c r="B202">
        <v>2.23</v>
      </c>
      <c r="C202">
        <v>2.17</v>
      </c>
      <c r="D202" t="s">
        <v>283</v>
      </c>
    </row>
    <row r="203" spans="1:4" x14ac:dyDescent="0.3">
      <c r="A203">
        <v>1</v>
      </c>
      <c r="B203">
        <v>2.23</v>
      </c>
      <c r="C203">
        <v>2.17</v>
      </c>
      <c r="D203" t="s">
        <v>283</v>
      </c>
    </row>
    <row r="204" spans="1:4" x14ac:dyDescent="0.3">
      <c r="A204">
        <v>1</v>
      </c>
      <c r="B204">
        <v>2.23</v>
      </c>
      <c r="C204">
        <v>2.17</v>
      </c>
      <c r="D204" t="s">
        <v>283</v>
      </c>
    </row>
    <row r="205" spans="1:4" x14ac:dyDescent="0.3">
      <c r="A205">
        <v>1</v>
      </c>
      <c r="B205">
        <v>2.23</v>
      </c>
      <c r="C205">
        <v>2.17</v>
      </c>
      <c r="D205" t="s">
        <v>283</v>
      </c>
    </row>
    <row r="206" spans="1:4" x14ac:dyDescent="0.3">
      <c r="A206">
        <v>1</v>
      </c>
      <c r="B206">
        <v>1.43</v>
      </c>
      <c r="C206">
        <v>1.19</v>
      </c>
      <c r="D206" t="s">
        <v>280</v>
      </c>
    </row>
    <row r="207" spans="1:4" x14ac:dyDescent="0.3">
      <c r="A207">
        <v>1</v>
      </c>
      <c r="B207">
        <v>1.43</v>
      </c>
      <c r="C207">
        <v>1.19</v>
      </c>
      <c r="D207" t="s">
        <v>280</v>
      </c>
    </row>
    <row r="208" spans="1:4" x14ac:dyDescent="0.3">
      <c r="A208">
        <v>1</v>
      </c>
      <c r="B208">
        <v>1.43</v>
      </c>
      <c r="C208">
        <v>1.19</v>
      </c>
      <c r="D208" t="s">
        <v>280</v>
      </c>
    </row>
    <row r="209" spans="1:4" x14ac:dyDescent="0.3">
      <c r="A209">
        <v>1</v>
      </c>
      <c r="B209">
        <v>1.43</v>
      </c>
      <c r="C209">
        <v>1.19</v>
      </c>
      <c r="D209" t="s">
        <v>280</v>
      </c>
    </row>
    <row r="210" spans="1:4" x14ac:dyDescent="0.3">
      <c r="A210">
        <v>1</v>
      </c>
      <c r="B210">
        <v>1.43</v>
      </c>
      <c r="C210">
        <v>1.19</v>
      </c>
      <c r="D210" t="s">
        <v>280</v>
      </c>
    </row>
    <row r="211" spans="1:4" x14ac:dyDescent="0.3">
      <c r="A211">
        <v>1</v>
      </c>
      <c r="B211">
        <v>2.23</v>
      </c>
      <c r="C211">
        <v>2.17</v>
      </c>
      <c r="D211" t="s">
        <v>280</v>
      </c>
    </row>
    <row r="212" spans="1:4" x14ac:dyDescent="0.3">
      <c r="A212">
        <v>1</v>
      </c>
      <c r="B212">
        <v>2.23</v>
      </c>
      <c r="C212">
        <v>2.17</v>
      </c>
      <c r="D212" t="s">
        <v>280</v>
      </c>
    </row>
    <row r="213" spans="1:4" x14ac:dyDescent="0.3">
      <c r="A213">
        <v>1</v>
      </c>
      <c r="B213">
        <v>2.23</v>
      </c>
      <c r="C213">
        <v>2.17</v>
      </c>
      <c r="D213" t="s">
        <v>280</v>
      </c>
    </row>
    <row r="214" spans="1:4" x14ac:dyDescent="0.3">
      <c r="A214">
        <v>1</v>
      </c>
      <c r="B214">
        <v>2.23</v>
      </c>
      <c r="C214">
        <v>2.17</v>
      </c>
      <c r="D214" t="s">
        <v>280</v>
      </c>
    </row>
    <row r="215" spans="1:4" x14ac:dyDescent="0.3">
      <c r="A215">
        <v>1</v>
      </c>
      <c r="B215">
        <v>2.23</v>
      </c>
      <c r="C215">
        <v>2.17</v>
      </c>
      <c r="D215" t="s">
        <v>280</v>
      </c>
    </row>
    <row r="216" spans="1:4" x14ac:dyDescent="0.3">
      <c r="A216">
        <v>1</v>
      </c>
      <c r="B216">
        <v>2.23</v>
      </c>
      <c r="C216">
        <v>2.17</v>
      </c>
      <c r="D216" t="s">
        <v>280</v>
      </c>
    </row>
    <row r="217" spans="1:4" x14ac:dyDescent="0.3">
      <c r="A217">
        <v>1</v>
      </c>
      <c r="B217">
        <v>2.23</v>
      </c>
      <c r="C217">
        <v>2.17</v>
      </c>
      <c r="D217" t="s">
        <v>280</v>
      </c>
    </row>
    <row r="218" spans="1:4" x14ac:dyDescent="0.3">
      <c r="A218">
        <v>1</v>
      </c>
      <c r="B218">
        <v>2.23</v>
      </c>
      <c r="C218">
        <v>2.17</v>
      </c>
      <c r="D218" t="s">
        <v>280</v>
      </c>
    </row>
    <row r="219" spans="1:4" x14ac:dyDescent="0.3">
      <c r="A219">
        <v>1</v>
      </c>
      <c r="B219">
        <v>2.23</v>
      </c>
      <c r="C219">
        <v>2.17</v>
      </c>
      <c r="D219" t="s">
        <v>282</v>
      </c>
    </row>
    <row r="220" spans="1:4" x14ac:dyDescent="0.3">
      <c r="A220">
        <v>1</v>
      </c>
      <c r="B220">
        <v>1.43</v>
      </c>
      <c r="C220">
        <v>1.19</v>
      </c>
      <c r="D220" t="s">
        <v>282</v>
      </c>
    </row>
    <row r="221" spans="1:4" x14ac:dyDescent="0.3">
      <c r="A221">
        <v>1</v>
      </c>
      <c r="B221">
        <v>2.23</v>
      </c>
      <c r="C221">
        <v>2.17</v>
      </c>
      <c r="D221" t="s">
        <v>281</v>
      </c>
    </row>
    <row r="222" spans="1:4" x14ac:dyDescent="0.3">
      <c r="A222">
        <v>1</v>
      </c>
      <c r="B222">
        <v>2.23</v>
      </c>
      <c r="C222">
        <v>2.17</v>
      </c>
      <c r="D222" t="s">
        <v>281</v>
      </c>
    </row>
    <row r="223" spans="1:4" x14ac:dyDescent="0.3">
      <c r="A223">
        <v>1</v>
      </c>
      <c r="B223">
        <v>2.23</v>
      </c>
      <c r="C223">
        <v>2.17</v>
      </c>
      <c r="D223" t="s">
        <v>281</v>
      </c>
    </row>
    <row r="224" spans="1:4" x14ac:dyDescent="0.3">
      <c r="A224">
        <v>1</v>
      </c>
      <c r="B224">
        <v>2.23</v>
      </c>
      <c r="C224">
        <v>2.17</v>
      </c>
      <c r="D224" t="s">
        <v>281</v>
      </c>
    </row>
    <row r="225" spans="1:4" x14ac:dyDescent="0.3">
      <c r="A225">
        <v>1</v>
      </c>
      <c r="B225">
        <v>1.43</v>
      </c>
      <c r="C225">
        <v>1.19</v>
      </c>
      <c r="D225" t="s">
        <v>282</v>
      </c>
    </row>
    <row r="226" spans="1:4" x14ac:dyDescent="0.3">
      <c r="A226">
        <v>1</v>
      </c>
      <c r="B226">
        <v>1.43</v>
      </c>
      <c r="C226">
        <v>1.19</v>
      </c>
      <c r="D226" t="s">
        <v>282</v>
      </c>
    </row>
    <row r="227" spans="1:4" x14ac:dyDescent="0.3">
      <c r="A227">
        <v>1</v>
      </c>
      <c r="B227">
        <v>1.43</v>
      </c>
      <c r="C227">
        <v>1.19</v>
      </c>
      <c r="D227" t="s">
        <v>282</v>
      </c>
    </row>
    <row r="228" spans="1:4" x14ac:dyDescent="0.3">
      <c r="A228">
        <v>1</v>
      </c>
      <c r="B228">
        <v>1.43</v>
      </c>
      <c r="C228">
        <v>1.19</v>
      </c>
      <c r="D228" t="s">
        <v>283</v>
      </c>
    </row>
    <row r="229" spans="1:4" x14ac:dyDescent="0.3">
      <c r="A229">
        <v>1</v>
      </c>
      <c r="B229">
        <v>1.43</v>
      </c>
      <c r="C229">
        <v>1.19</v>
      </c>
      <c r="D229" t="s">
        <v>283</v>
      </c>
    </row>
    <row r="230" spans="1:4" x14ac:dyDescent="0.3">
      <c r="A230">
        <v>1</v>
      </c>
      <c r="B230">
        <v>1.43</v>
      </c>
      <c r="C230">
        <v>1.19</v>
      </c>
      <c r="D230" t="s">
        <v>283</v>
      </c>
    </row>
    <row r="231" spans="1:4" x14ac:dyDescent="0.3">
      <c r="A231">
        <v>1</v>
      </c>
      <c r="B231">
        <v>1.43</v>
      </c>
      <c r="C231">
        <v>1.19</v>
      </c>
      <c r="D231" t="s">
        <v>283</v>
      </c>
    </row>
    <row r="232" spans="1:4" x14ac:dyDescent="0.3">
      <c r="A232">
        <v>1</v>
      </c>
      <c r="B232">
        <v>1.43</v>
      </c>
      <c r="C232">
        <v>1.19</v>
      </c>
      <c r="D232" t="s">
        <v>283</v>
      </c>
    </row>
    <row r="233" spans="1:4" x14ac:dyDescent="0.3">
      <c r="A233">
        <v>1</v>
      </c>
      <c r="B233">
        <v>1.43</v>
      </c>
      <c r="C233">
        <v>1.19</v>
      </c>
      <c r="D233" t="s">
        <v>283</v>
      </c>
    </row>
    <row r="234" spans="1:4" x14ac:dyDescent="0.3">
      <c r="A234">
        <v>1</v>
      </c>
      <c r="B234">
        <v>1.43</v>
      </c>
      <c r="C234">
        <v>1.19</v>
      </c>
      <c r="D234" t="s">
        <v>283</v>
      </c>
    </row>
    <row r="235" spans="1:4" x14ac:dyDescent="0.3">
      <c r="A235">
        <v>1</v>
      </c>
      <c r="B235">
        <v>1.43</v>
      </c>
      <c r="C235">
        <v>1.19</v>
      </c>
      <c r="D235" t="s">
        <v>283</v>
      </c>
    </row>
    <row r="236" spans="1:4" x14ac:dyDescent="0.3">
      <c r="A236">
        <v>1</v>
      </c>
      <c r="B236">
        <v>2.23</v>
      </c>
      <c r="C236">
        <v>2.17</v>
      </c>
      <c r="D236" t="s">
        <v>283</v>
      </c>
    </row>
    <row r="237" spans="1:4" x14ac:dyDescent="0.3">
      <c r="A237">
        <v>1</v>
      </c>
      <c r="B237">
        <v>2.23</v>
      </c>
      <c r="C237">
        <v>2.17</v>
      </c>
      <c r="D237" t="s">
        <v>283</v>
      </c>
    </row>
    <row r="238" spans="1:4" x14ac:dyDescent="0.3">
      <c r="A238">
        <v>1</v>
      </c>
      <c r="B238">
        <v>2.23</v>
      </c>
      <c r="C238">
        <v>2.17</v>
      </c>
      <c r="D238" t="s">
        <v>283</v>
      </c>
    </row>
    <row r="239" spans="1:4" x14ac:dyDescent="0.3">
      <c r="A239">
        <v>1</v>
      </c>
      <c r="B239">
        <v>2.23</v>
      </c>
      <c r="C239">
        <v>2.17</v>
      </c>
      <c r="D239" t="s">
        <v>283</v>
      </c>
    </row>
    <row r="240" spans="1:4" x14ac:dyDescent="0.3">
      <c r="A240">
        <v>1</v>
      </c>
      <c r="B240">
        <v>2.23</v>
      </c>
      <c r="C240">
        <v>2.17</v>
      </c>
      <c r="D240" t="s">
        <v>283</v>
      </c>
    </row>
    <row r="241" spans="1:4" x14ac:dyDescent="0.3">
      <c r="A241">
        <v>1</v>
      </c>
      <c r="B241">
        <v>2.23</v>
      </c>
      <c r="C241">
        <v>2.17</v>
      </c>
      <c r="D241" t="s">
        <v>283</v>
      </c>
    </row>
    <row r="242" spans="1:4" x14ac:dyDescent="0.3">
      <c r="A242">
        <v>1</v>
      </c>
      <c r="B242">
        <v>1.43</v>
      </c>
      <c r="C242">
        <v>1.19</v>
      </c>
      <c r="D242" t="s">
        <v>280</v>
      </c>
    </row>
    <row r="243" spans="1:4" x14ac:dyDescent="0.3">
      <c r="A243">
        <v>1</v>
      </c>
      <c r="B243">
        <v>1.43</v>
      </c>
      <c r="C243">
        <v>1.19</v>
      </c>
      <c r="D243" t="s">
        <v>280</v>
      </c>
    </row>
    <row r="244" spans="1:4" x14ac:dyDescent="0.3">
      <c r="A244">
        <v>1</v>
      </c>
      <c r="B244">
        <v>1.43</v>
      </c>
      <c r="C244">
        <v>1.19</v>
      </c>
      <c r="D244" t="s">
        <v>280</v>
      </c>
    </row>
    <row r="245" spans="1:4" x14ac:dyDescent="0.3">
      <c r="A245">
        <v>1</v>
      </c>
      <c r="B245">
        <v>1.43</v>
      </c>
      <c r="C245">
        <v>1.19</v>
      </c>
      <c r="D245" t="s">
        <v>280</v>
      </c>
    </row>
    <row r="246" spans="1:4" x14ac:dyDescent="0.3">
      <c r="A246">
        <v>1</v>
      </c>
      <c r="B246">
        <v>1.43</v>
      </c>
      <c r="C246">
        <v>1.19</v>
      </c>
      <c r="D246" t="s">
        <v>280</v>
      </c>
    </row>
    <row r="247" spans="1:4" x14ac:dyDescent="0.3">
      <c r="A247">
        <v>1</v>
      </c>
      <c r="B247">
        <v>2.23</v>
      </c>
      <c r="C247">
        <v>2.17</v>
      </c>
      <c r="D247" t="s">
        <v>280</v>
      </c>
    </row>
    <row r="248" spans="1:4" x14ac:dyDescent="0.3">
      <c r="A248">
        <v>1</v>
      </c>
      <c r="B248">
        <v>2.23</v>
      </c>
      <c r="C248">
        <v>2.17</v>
      </c>
      <c r="D248" t="s">
        <v>280</v>
      </c>
    </row>
    <row r="249" spans="1:4" x14ac:dyDescent="0.3">
      <c r="A249">
        <v>1</v>
      </c>
      <c r="B249">
        <v>2.23</v>
      </c>
      <c r="C249">
        <v>2.17</v>
      </c>
      <c r="D249" t="s">
        <v>280</v>
      </c>
    </row>
    <row r="250" spans="1:4" x14ac:dyDescent="0.3">
      <c r="A250">
        <v>1</v>
      </c>
      <c r="B250">
        <v>2.23</v>
      </c>
      <c r="C250">
        <v>2.17</v>
      </c>
      <c r="D250" t="s">
        <v>280</v>
      </c>
    </row>
    <row r="251" spans="1:4" x14ac:dyDescent="0.3">
      <c r="A251">
        <v>1</v>
      </c>
      <c r="B251">
        <v>2.23</v>
      </c>
      <c r="C251">
        <v>2.17</v>
      </c>
      <c r="D251" t="s">
        <v>280</v>
      </c>
    </row>
    <row r="252" spans="1:4" x14ac:dyDescent="0.3">
      <c r="A252">
        <v>1</v>
      </c>
      <c r="B252">
        <v>2.23</v>
      </c>
      <c r="C252">
        <v>2.17</v>
      </c>
      <c r="D252" t="s">
        <v>280</v>
      </c>
    </row>
    <row r="253" spans="1:4" x14ac:dyDescent="0.3">
      <c r="A253">
        <v>1</v>
      </c>
      <c r="B253">
        <v>2.23</v>
      </c>
      <c r="C253">
        <v>2.17</v>
      </c>
      <c r="D253" t="s">
        <v>280</v>
      </c>
    </row>
    <row r="254" spans="1:4" x14ac:dyDescent="0.3">
      <c r="A254">
        <v>1</v>
      </c>
      <c r="B254">
        <v>2.23</v>
      </c>
      <c r="C254">
        <v>2.17</v>
      </c>
      <c r="D254" t="s">
        <v>280</v>
      </c>
    </row>
    <row r="255" spans="1:4" x14ac:dyDescent="0.3">
      <c r="A255">
        <v>1</v>
      </c>
      <c r="B255">
        <v>2.23</v>
      </c>
      <c r="C255">
        <v>2.17</v>
      </c>
      <c r="D255" t="s">
        <v>282</v>
      </c>
    </row>
    <row r="256" spans="1:4" x14ac:dyDescent="0.3">
      <c r="A256">
        <v>1</v>
      </c>
      <c r="B256">
        <v>1.43</v>
      </c>
      <c r="C256">
        <v>1.19</v>
      </c>
      <c r="D256" t="s">
        <v>282</v>
      </c>
    </row>
    <row r="257" spans="1:4" x14ac:dyDescent="0.3">
      <c r="A257">
        <v>1</v>
      </c>
      <c r="B257">
        <v>2.23</v>
      </c>
      <c r="C257">
        <v>2.17</v>
      </c>
      <c r="D257" t="s">
        <v>281</v>
      </c>
    </row>
    <row r="258" spans="1:4" x14ac:dyDescent="0.3">
      <c r="A258">
        <v>1</v>
      </c>
      <c r="B258">
        <v>2.23</v>
      </c>
      <c r="C258">
        <v>2.17</v>
      </c>
      <c r="D258" t="s">
        <v>281</v>
      </c>
    </row>
    <row r="259" spans="1:4" x14ac:dyDescent="0.3">
      <c r="A259">
        <v>1</v>
      </c>
      <c r="B259">
        <v>2.23</v>
      </c>
      <c r="C259">
        <v>2.17</v>
      </c>
      <c r="D259" t="s">
        <v>281</v>
      </c>
    </row>
    <row r="260" spans="1:4" x14ac:dyDescent="0.3">
      <c r="A260">
        <v>1</v>
      </c>
      <c r="B260">
        <v>2.23</v>
      </c>
      <c r="C260">
        <v>2.17</v>
      </c>
      <c r="D260" t="s">
        <v>281</v>
      </c>
    </row>
    <row r="261" spans="1:4" x14ac:dyDescent="0.3">
      <c r="A261">
        <v>1</v>
      </c>
      <c r="B261">
        <v>1.43</v>
      </c>
      <c r="C261">
        <v>1.19</v>
      </c>
      <c r="D261" t="s">
        <v>282</v>
      </c>
    </row>
    <row r="262" spans="1:4" x14ac:dyDescent="0.3">
      <c r="A262">
        <v>1</v>
      </c>
      <c r="B262">
        <v>1.43</v>
      </c>
      <c r="C262">
        <v>1.19</v>
      </c>
      <c r="D262" t="s">
        <v>282</v>
      </c>
    </row>
    <row r="263" spans="1:4" x14ac:dyDescent="0.3">
      <c r="A263">
        <v>1</v>
      </c>
      <c r="B263">
        <v>1.43</v>
      </c>
      <c r="C263">
        <v>1.19</v>
      </c>
      <c r="D263" t="s">
        <v>282</v>
      </c>
    </row>
    <row r="264" spans="1:4" x14ac:dyDescent="0.3">
      <c r="A264">
        <v>1</v>
      </c>
      <c r="B264">
        <v>1.43</v>
      </c>
      <c r="C264">
        <v>1.19</v>
      </c>
      <c r="D264" t="s">
        <v>283</v>
      </c>
    </row>
    <row r="265" spans="1:4" x14ac:dyDescent="0.3">
      <c r="A265">
        <v>1</v>
      </c>
      <c r="B265">
        <v>1.43</v>
      </c>
      <c r="C265">
        <v>1.19</v>
      </c>
      <c r="D265" t="s">
        <v>283</v>
      </c>
    </row>
    <row r="266" spans="1:4" x14ac:dyDescent="0.3">
      <c r="A266">
        <v>1</v>
      </c>
      <c r="B266">
        <v>1.43</v>
      </c>
      <c r="C266">
        <v>1.19</v>
      </c>
      <c r="D266" t="s">
        <v>283</v>
      </c>
    </row>
    <row r="267" spans="1:4" x14ac:dyDescent="0.3">
      <c r="A267">
        <v>1</v>
      </c>
      <c r="B267">
        <v>1.43</v>
      </c>
      <c r="C267">
        <v>1.19</v>
      </c>
      <c r="D267" t="s">
        <v>283</v>
      </c>
    </row>
    <row r="268" spans="1:4" x14ac:dyDescent="0.3">
      <c r="A268">
        <v>1</v>
      </c>
      <c r="B268">
        <v>1.43</v>
      </c>
      <c r="C268">
        <v>1.19</v>
      </c>
      <c r="D268" t="s">
        <v>283</v>
      </c>
    </row>
    <row r="269" spans="1:4" x14ac:dyDescent="0.3">
      <c r="A269">
        <v>1</v>
      </c>
      <c r="B269">
        <v>1.43</v>
      </c>
      <c r="C269">
        <v>1.19</v>
      </c>
      <c r="D269" t="s">
        <v>283</v>
      </c>
    </row>
    <row r="270" spans="1:4" x14ac:dyDescent="0.3">
      <c r="A270">
        <v>1</v>
      </c>
      <c r="B270">
        <v>1.43</v>
      </c>
      <c r="C270">
        <v>1.19</v>
      </c>
      <c r="D270" t="s">
        <v>283</v>
      </c>
    </row>
    <row r="271" spans="1:4" x14ac:dyDescent="0.3">
      <c r="A271">
        <v>1</v>
      </c>
      <c r="B271">
        <v>1.43</v>
      </c>
      <c r="C271">
        <v>1.19</v>
      </c>
      <c r="D271" t="s">
        <v>283</v>
      </c>
    </row>
    <row r="272" spans="1:4" x14ac:dyDescent="0.3">
      <c r="A272">
        <v>1</v>
      </c>
      <c r="B272">
        <v>2.23</v>
      </c>
      <c r="C272">
        <v>2.17</v>
      </c>
      <c r="D272" t="s">
        <v>283</v>
      </c>
    </row>
    <row r="273" spans="1:4" x14ac:dyDescent="0.3">
      <c r="A273">
        <v>1</v>
      </c>
      <c r="B273">
        <v>2.23</v>
      </c>
      <c r="C273">
        <v>2.17</v>
      </c>
      <c r="D273" t="s">
        <v>283</v>
      </c>
    </row>
    <row r="274" spans="1:4" x14ac:dyDescent="0.3">
      <c r="A274">
        <v>1</v>
      </c>
      <c r="B274">
        <v>2.23</v>
      </c>
      <c r="C274">
        <v>2.17</v>
      </c>
      <c r="D274" t="s">
        <v>283</v>
      </c>
    </row>
    <row r="275" spans="1:4" x14ac:dyDescent="0.3">
      <c r="A275">
        <v>1</v>
      </c>
      <c r="B275">
        <v>2.23</v>
      </c>
      <c r="C275">
        <v>2.17</v>
      </c>
      <c r="D275" t="s">
        <v>283</v>
      </c>
    </row>
    <row r="276" spans="1:4" x14ac:dyDescent="0.3">
      <c r="A276">
        <v>1</v>
      </c>
      <c r="B276">
        <v>2.23</v>
      </c>
      <c r="C276">
        <v>2.17</v>
      </c>
      <c r="D276" t="s">
        <v>283</v>
      </c>
    </row>
    <row r="277" spans="1:4" x14ac:dyDescent="0.3">
      <c r="A277">
        <v>1</v>
      </c>
      <c r="B277">
        <v>2.23</v>
      </c>
      <c r="C277">
        <v>2.17</v>
      </c>
      <c r="D277" t="s">
        <v>283</v>
      </c>
    </row>
    <row r="278" spans="1:4" x14ac:dyDescent="0.3">
      <c r="A278">
        <v>1</v>
      </c>
      <c r="B278">
        <v>1.43</v>
      </c>
      <c r="C278">
        <v>1.19</v>
      </c>
      <c r="D278" t="s">
        <v>280</v>
      </c>
    </row>
    <row r="279" spans="1:4" x14ac:dyDescent="0.3">
      <c r="A279">
        <v>1</v>
      </c>
      <c r="B279">
        <v>1.43</v>
      </c>
      <c r="C279">
        <v>1.19</v>
      </c>
      <c r="D279" t="s">
        <v>280</v>
      </c>
    </row>
    <row r="280" spans="1:4" x14ac:dyDescent="0.3">
      <c r="A280">
        <v>1</v>
      </c>
      <c r="B280">
        <v>1.43</v>
      </c>
      <c r="C280">
        <v>1.19</v>
      </c>
      <c r="D280" t="s">
        <v>280</v>
      </c>
    </row>
    <row r="281" spans="1:4" x14ac:dyDescent="0.3">
      <c r="A281">
        <v>1</v>
      </c>
      <c r="B281">
        <v>1.43</v>
      </c>
      <c r="C281">
        <v>1.19</v>
      </c>
      <c r="D281" t="s">
        <v>280</v>
      </c>
    </row>
    <row r="282" spans="1:4" x14ac:dyDescent="0.3">
      <c r="A282">
        <v>1</v>
      </c>
      <c r="B282">
        <v>1.43</v>
      </c>
      <c r="C282">
        <v>1.19</v>
      </c>
      <c r="D282" t="s">
        <v>280</v>
      </c>
    </row>
    <row r="283" spans="1:4" x14ac:dyDescent="0.3">
      <c r="A283">
        <v>1</v>
      </c>
      <c r="B283">
        <v>2.23</v>
      </c>
      <c r="C283">
        <v>2.17</v>
      </c>
      <c r="D283" t="s">
        <v>280</v>
      </c>
    </row>
    <row r="284" spans="1:4" x14ac:dyDescent="0.3">
      <c r="A284">
        <v>1</v>
      </c>
      <c r="B284">
        <v>2.23</v>
      </c>
      <c r="C284">
        <v>2.17</v>
      </c>
      <c r="D284" t="s">
        <v>280</v>
      </c>
    </row>
    <row r="285" spans="1:4" x14ac:dyDescent="0.3">
      <c r="A285">
        <v>1</v>
      </c>
      <c r="B285">
        <v>2.23</v>
      </c>
      <c r="C285">
        <v>2.17</v>
      </c>
      <c r="D285" t="s">
        <v>280</v>
      </c>
    </row>
    <row r="286" spans="1:4" x14ac:dyDescent="0.3">
      <c r="A286">
        <v>1</v>
      </c>
      <c r="B286">
        <v>2.23</v>
      </c>
      <c r="C286">
        <v>2.17</v>
      </c>
      <c r="D286" t="s">
        <v>280</v>
      </c>
    </row>
    <row r="287" spans="1:4" x14ac:dyDescent="0.3">
      <c r="A287">
        <v>1</v>
      </c>
      <c r="B287">
        <v>2.23</v>
      </c>
      <c r="C287">
        <v>2.17</v>
      </c>
      <c r="D287" t="s">
        <v>280</v>
      </c>
    </row>
    <row r="288" spans="1:4" x14ac:dyDescent="0.3">
      <c r="A288">
        <v>1</v>
      </c>
      <c r="B288">
        <v>2.23</v>
      </c>
      <c r="C288">
        <v>2.17</v>
      </c>
      <c r="D288" t="s">
        <v>280</v>
      </c>
    </row>
    <row r="289" spans="1:4" x14ac:dyDescent="0.3">
      <c r="A289">
        <v>1</v>
      </c>
      <c r="B289">
        <v>2.23</v>
      </c>
      <c r="C289">
        <v>2.17</v>
      </c>
      <c r="D289" t="s">
        <v>280</v>
      </c>
    </row>
    <row r="290" spans="1:4" x14ac:dyDescent="0.3">
      <c r="A290">
        <v>1</v>
      </c>
      <c r="B290">
        <v>2.23</v>
      </c>
      <c r="C290">
        <v>2.17</v>
      </c>
      <c r="D290" t="s">
        <v>280</v>
      </c>
    </row>
    <row r="291" spans="1:4" x14ac:dyDescent="0.3">
      <c r="A291">
        <v>1</v>
      </c>
      <c r="B291">
        <v>2.23</v>
      </c>
      <c r="C291">
        <v>2.17</v>
      </c>
      <c r="D291" t="s">
        <v>282</v>
      </c>
    </row>
    <row r="292" spans="1:4" x14ac:dyDescent="0.3">
      <c r="A292">
        <v>1</v>
      </c>
      <c r="B292">
        <v>1.43</v>
      </c>
      <c r="C292">
        <v>1.19</v>
      </c>
      <c r="D292" t="s">
        <v>282</v>
      </c>
    </row>
    <row r="293" spans="1:4" x14ac:dyDescent="0.3">
      <c r="A293">
        <v>1</v>
      </c>
      <c r="B293">
        <v>2.23</v>
      </c>
      <c r="C293">
        <v>2.17</v>
      </c>
      <c r="D293" t="s">
        <v>281</v>
      </c>
    </row>
    <row r="294" spans="1:4" x14ac:dyDescent="0.3">
      <c r="A294">
        <v>1</v>
      </c>
      <c r="B294">
        <v>2.23</v>
      </c>
      <c r="C294">
        <v>2.17</v>
      </c>
      <c r="D294" t="s">
        <v>281</v>
      </c>
    </row>
    <row r="295" spans="1:4" x14ac:dyDescent="0.3">
      <c r="A295">
        <v>1</v>
      </c>
      <c r="B295">
        <v>2.23</v>
      </c>
      <c r="C295">
        <v>2.17</v>
      </c>
      <c r="D295" t="s">
        <v>281</v>
      </c>
    </row>
    <row r="296" spans="1:4" x14ac:dyDescent="0.3">
      <c r="A296">
        <v>1</v>
      </c>
      <c r="B296">
        <v>2.23</v>
      </c>
      <c r="C296">
        <v>2.17</v>
      </c>
      <c r="D296" t="s">
        <v>281</v>
      </c>
    </row>
    <row r="297" spans="1:4" x14ac:dyDescent="0.3">
      <c r="A297">
        <v>1</v>
      </c>
      <c r="B297">
        <v>1.43</v>
      </c>
      <c r="C297">
        <v>1.19</v>
      </c>
      <c r="D297" t="s">
        <v>282</v>
      </c>
    </row>
    <row r="298" spans="1:4" x14ac:dyDescent="0.3">
      <c r="A298">
        <v>1</v>
      </c>
      <c r="B298">
        <v>1.43</v>
      </c>
      <c r="C298">
        <v>1.19</v>
      </c>
      <c r="D298" t="s">
        <v>282</v>
      </c>
    </row>
    <row r="299" spans="1:4" x14ac:dyDescent="0.3">
      <c r="A299">
        <v>1</v>
      </c>
      <c r="B299">
        <v>1.43</v>
      </c>
      <c r="C299">
        <v>1.19</v>
      </c>
      <c r="D299" t="s">
        <v>282</v>
      </c>
    </row>
    <row r="300" spans="1:4" x14ac:dyDescent="0.3">
      <c r="A300">
        <v>1</v>
      </c>
      <c r="B300">
        <v>1.43</v>
      </c>
      <c r="C300">
        <v>1.19</v>
      </c>
      <c r="D300" t="s">
        <v>283</v>
      </c>
    </row>
    <row r="301" spans="1:4" x14ac:dyDescent="0.3">
      <c r="A301">
        <v>1</v>
      </c>
      <c r="B301">
        <v>1.43</v>
      </c>
      <c r="C301">
        <v>1.19</v>
      </c>
      <c r="D301" t="s">
        <v>283</v>
      </c>
    </row>
    <row r="302" spans="1:4" x14ac:dyDescent="0.3">
      <c r="A302">
        <v>1</v>
      </c>
      <c r="B302">
        <v>1.43</v>
      </c>
      <c r="C302">
        <v>1.19</v>
      </c>
      <c r="D302" t="s">
        <v>283</v>
      </c>
    </row>
    <row r="303" spans="1:4" x14ac:dyDescent="0.3">
      <c r="A303">
        <v>1</v>
      </c>
      <c r="B303">
        <v>1.43</v>
      </c>
      <c r="C303">
        <v>1.19</v>
      </c>
      <c r="D303" t="s">
        <v>283</v>
      </c>
    </row>
    <row r="304" spans="1:4" x14ac:dyDescent="0.3">
      <c r="A304">
        <v>1</v>
      </c>
      <c r="B304">
        <v>1.43</v>
      </c>
      <c r="C304">
        <v>1.19</v>
      </c>
      <c r="D304" t="s">
        <v>283</v>
      </c>
    </row>
    <row r="305" spans="1:4" x14ac:dyDescent="0.3">
      <c r="A305">
        <v>1</v>
      </c>
      <c r="B305">
        <v>1.43</v>
      </c>
      <c r="C305">
        <v>1.19</v>
      </c>
      <c r="D305" t="s">
        <v>283</v>
      </c>
    </row>
    <row r="306" spans="1:4" x14ac:dyDescent="0.3">
      <c r="A306">
        <v>1</v>
      </c>
      <c r="B306">
        <v>1.43</v>
      </c>
      <c r="C306">
        <v>1.19</v>
      </c>
      <c r="D306" t="s">
        <v>283</v>
      </c>
    </row>
    <row r="307" spans="1:4" x14ac:dyDescent="0.3">
      <c r="A307">
        <v>1</v>
      </c>
      <c r="B307">
        <v>1.43</v>
      </c>
      <c r="C307">
        <v>1.19</v>
      </c>
      <c r="D307" t="s">
        <v>283</v>
      </c>
    </row>
    <row r="308" spans="1:4" x14ac:dyDescent="0.3">
      <c r="A308">
        <v>1</v>
      </c>
      <c r="B308">
        <v>2.23</v>
      </c>
      <c r="C308">
        <v>2.17</v>
      </c>
      <c r="D308" t="s">
        <v>283</v>
      </c>
    </row>
    <row r="309" spans="1:4" x14ac:dyDescent="0.3">
      <c r="A309">
        <v>1</v>
      </c>
      <c r="B309">
        <v>2.23</v>
      </c>
      <c r="C309">
        <v>2.17</v>
      </c>
      <c r="D309" t="s">
        <v>283</v>
      </c>
    </row>
    <row r="310" spans="1:4" x14ac:dyDescent="0.3">
      <c r="A310">
        <v>1</v>
      </c>
      <c r="B310">
        <v>2.23</v>
      </c>
      <c r="C310">
        <v>2.17</v>
      </c>
      <c r="D310" t="s">
        <v>283</v>
      </c>
    </row>
    <row r="311" spans="1:4" x14ac:dyDescent="0.3">
      <c r="A311">
        <v>1</v>
      </c>
      <c r="B311">
        <v>2.23</v>
      </c>
      <c r="C311">
        <v>2.17</v>
      </c>
      <c r="D311" t="s">
        <v>283</v>
      </c>
    </row>
    <row r="312" spans="1:4" x14ac:dyDescent="0.3">
      <c r="A312">
        <v>1</v>
      </c>
      <c r="B312">
        <v>2.23</v>
      </c>
      <c r="C312">
        <v>2.17</v>
      </c>
      <c r="D312" t="s">
        <v>283</v>
      </c>
    </row>
    <row r="313" spans="1:4" x14ac:dyDescent="0.3">
      <c r="A313">
        <v>1</v>
      </c>
      <c r="B313">
        <v>2.23</v>
      </c>
      <c r="C313">
        <v>2.17</v>
      </c>
      <c r="D313" t="s">
        <v>283</v>
      </c>
    </row>
    <row r="314" spans="1:4" x14ac:dyDescent="0.3">
      <c r="A314">
        <v>1</v>
      </c>
      <c r="B314">
        <v>1.43</v>
      </c>
      <c r="C314">
        <v>1.19</v>
      </c>
      <c r="D314" t="s">
        <v>280</v>
      </c>
    </row>
    <row r="315" spans="1:4" x14ac:dyDescent="0.3">
      <c r="A315">
        <v>1</v>
      </c>
      <c r="B315">
        <v>1.43</v>
      </c>
      <c r="C315">
        <v>1.19</v>
      </c>
      <c r="D315" t="s">
        <v>280</v>
      </c>
    </row>
    <row r="316" spans="1:4" x14ac:dyDescent="0.3">
      <c r="A316">
        <v>1</v>
      </c>
      <c r="B316">
        <v>1.43</v>
      </c>
      <c r="C316">
        <v>1.19</v>
      </c>
      <c r="D316" t="s">
        <v>280</v>
      </c>
    </row>
    <row r="317" spans="1:4" x14ac:dyDescent="0.3">
      <c r="A317">
        <v>1</v>
      </c>
      <c r="B317">
        <v>1.43</v>
      </c>
      <c r="C317">
        <v>1.19</v>
      </c>
      <c r="D317" t="s">
        <v>280</v>
      </c>
    </row>
    <row r="318" spans="1:4" x14ac:dyDescent="0.3">
      <c r="A318">
        <v>1</v>
      </c>
      <c r="B318">
        <v>1.43</v>
      </c>
      <c r="C318">
        <v>1.19</v>
      </c>
      <c r="D318" t="s">
        <v>280</v>
      </c>
    </row>
    <row r="319" spans="1:4" x14ac:dyDescent="0.3">
      <c r="A319">
        <v>1</v>
      </c>
      <c r="B319">
        <v>2.23</v>
      </c>
      <c r="C319">
        <v>2.17</v>
      </c>
      <c r="D319" t="s">
        <v>280</v>
      </c>
    </row>
    <row r="320" spans="1:4" x14ac:dyDescent="0.3">
      <c r="A320">
        <v>1</v>
      </c>
      <c r="B320">
        <v>2.23</v>
      </c>
      <c r="C320">
        <v>2.17</v>
      </c>
      <c r="D320" t="s">
        <v>280</v>
      </c>
    </row>
    <row r="321" spans="1:4" x14ac:dyDescent="0.3">
      <c r="A321">
        <v>1</v>
      </c>
      <c r="B321">
        <v>2.23</v>
      </c>
      <c r="C321">
        <v>2.17</v>
      </c>
      <c r="D321" t="s">
        <v>280</v>
      </c>
    </row>
    <row r="322" spans="1:4" x14ac:dyDescent="0.3">
      <c r="A322">
        <v>1</v>
      </c>
      <c r="B322">
        <v>2.23</v>
      </c>
      <c r="C322">
        <v>2.17</v>
      </c>
      <c r="D322" t="s">
        <v>280</v>
      </c>
    </row>
    <row r="323" spans="1:4" x14ac:dyDescent="0.3">
      <c r="A323">
        <v>1</v>
      </c>
      <c r="B323">
        <v>2.23</v>
      </c>
      <c r="C323">
        <v>2.17</v>
      </c>
      <c r="D323" t="s">
        <v>280</v>
      </c>
    </row>
    <row r="324" spans="1:4" x14ac:dyDescent="0.3">
      <c r="A324">
        <v>1</v>
      </c>
      <c r="B324">
        <v>2.23</v>
      </c>
      <c r="C324">
        <v>2.17</v>
      </c>
      <c r="D324" t="s">
        <v>280</v>
      </c>
    </row>
    <row r="325" spans="1:4" x14ac:dyDescent="0.3">
      <c r="A325">
        <v>1</v>
      </c>
      <c r="B325">
        <v>2.23</v>
      </c>
      <c r="C325">
        <v>2.17</v>
      </c>
      <c r="D325" t="s">
        <v>280</v>
      </c>
    </row>
    <row r="326" spans="1:4" x14ac:dyDescent="0.3">
      <c r="A326">
        <v>1</v>
      </c>
      <c r="B326">
        <v>2.23</v>
      </c>
      <c r="C326">
        <v>2.17</v>
      </c>
      <c r="D326" t="s">
        <v>280</v>
      </c>
    </row>
    <row r="327" spans="1:4" x14ac:dyDescent="0.3">
      <c r="A327">
        <v>1</v>
      </c>
      <c r="B327">
        <v>2.23</v>
      </c>
      <c r="C327">
        <v>2.17</v>
      </c>
      <c r="D327" t="s">
        <v>282</v>
      </c>
    </row>
    <row r="328" spans="1:4" x14ac:dyDescent="0.3">
      <c r="A328">
        <v>1</v>
      </c>
      <c r="B328">
        <v>1.43</v>
      </c>
      <c r="C328">
        <v>1.19</v>
      </c>
      <c r="D328" t="s">
        <v>282</v>
      </c>
    </row>
    <row r="329" spans="1:4" x14ac:dyDescent="0.3">
      <c r="A329">
        <v>1</v>
      </c>
      <c r="B329">
        <v>2.23</v>
      </c>
      <c r="C329">
        <v>2.17</v>
      </c>
      <c r="D329" t="s">
        <v>281</v>
      </c>
    </row>
    <row r="330" spans="1:4" x14ac:dyDescent="0.3">
      <c r="A330">
        <v>1</v>
      </c>
      <c r="B330">
        <v>2.23</v>
      </c>
      <c r="C330">
        <v>2.17</v>
      </c>
      <c r="D330" t="s">
        <v>281</v>
      </c>
    </row>
    <row r="331" spans="1:4" x14ac:dyDescent="0.3">
      <c r="A331">
        <v>1</v>
      </c>
      <c r="B331">
        <v>2.23</v>
      </c>
      <c r="C331">
        <v>2.17</v>
      </c>
      <c r="D331" t="s">
        <v>281</v>
      </c>
    </row>
    <row r="332" spans="1:4" x14ac:dyDescent="0.3">
      <c r="A332">
        <v>1</v>
      </c>
      <c r="B332">
        <v>2.23</v>
      </c>
      <c r="C332">
        <v>2.17</v>
      </c>
      <c r="D332" t="s">
        <v>281</v>
      </c>
    </row>
    <row r="333" spans="1:4" x14ac:dyDescent="0.3">
      <c r="A333">
        <v>1</v>
      </c>
      <c r="B333">
        <v>1.43</v>
      </c>
      <c r="C333">
        <v>1.19</v>
      </c>
      <c r="D333" t="s">
        <v>282</v>
      </c>
    </row>
    <row r="334" spans="1:4" x14ac:dyDescent="0.3">
      <c r="A334">
        <v>1</v>
      </c>
      <c r="B334">
        <v>1.43</v>
      </c>
      <c r="C334">
        <v>1.19</v>
      </c>
      <c r="D334" t="s">
        <v>282</v>
      </c>
    </row>
    <row r="335" spans="1:4" x14ac:dyDescent="0.3">
      <c r="A335">
        <v>1</v>
      </c>
      <c r="B335">
        <v>1.43</v>
      </c>
      <c r="C335">
        <v>1.19</v>
      </c>
      <c r="D335" t="s">
        <v>282</v>
      </c>
    </row>
    <row r="336" spans="1:4" x14ac:dyDescent="0.3">
      <c r="A336">
        <v>1</v>
      </c>
      <c r="B336">
        <v>1.43</v>
      </c>
      <c r="C336">
        <v>1.19</v>
      </c>
      <c r="D336" t="s">
        <v>283</v>
      </c>
    </row>
    <row r="337" spans="1:4" x14ac:dyDescent="0.3">
      <c r="A337">
        <v>1</v>
      </c>
      <c r="B337">
        <v>1.43</v>
      </c>
      <c r="C337">
        <v>1.19</v>
      </c>
      <c r="D337" t="s">
        <v>283</v>
      </c>
    </row>
    <row r="338" spans="1:4" x14ac:dyDescent="0.3">
      <c r="A338">
        <v>1</v>
      </c>
      <c r="B338">
        <v>1.43</v>
      </c>
      <c r="C338">
        <v>1.19</v>
      </c>
      <c r="D338" t="s">
        <v>283</v>
      </c>
    </row>
    <row r="339" spans="1:4" x14ac:dyDescent="0.3">
      <c r="A339">
        <v>1</v>
      </c>
      <c r="B339">
        <v>1.43</v>
      </c>
      <c r="C339">
        <v>1.19</v>
      </c>
      <c r="D339" t="s">
        <v>283</v>
      </c>
    </row>
    <row r="340" spans="1:4" x14ac:dyDescent="0.3">
      <c r="A340">
        <v>1</v>
      </c>
      <c r="B340">
        <v>1.43</v>
      </c>
      <c r="C340">
        <v>1.19</v>
      </c>
      <c r="D340" t="s">
        <v>283</v>
      </c>
    </row>
    <row r="341" spans="1:4" x14ac:dyDescent="0.3">
      <c r="A341">
        <v>1</v>
      </c>
      <c r="B341">
        <v>1.43</v>
      </c>
      <c r="C341">
        <v>1.19</v>
      </c>
      <c r="D341" t="s">
        <v>283</v>
      </c>
    </row>
    <row r="342" spans="1:4" x14ac:dyDescent="0.3">
      <c r="A342">
        <v>1</v>
      </c>
      <c r="B342">
        <v>1.43</v>
      </c>
      <c r="C342">
        <v>1.19</v>
      </c>
      <c r="D342" t="s">
        <v>283</v>
      </c>
    </row>
    <row r="343" spans="1:4" x14ac:dyDescent="0.3">
      <c r="A343">
        <v>1</v>
      </c>
      <c r="B343">
        <v>1.43</v>
      </c>
      <c r="C343">
        <v>1.19</v>
      </c>
      <c r="D343" t="s">
        <v>283</v>
      </c>
    </row>
    <row r="344" spans="1:4" x14ac:dyDescent="0.3">
      <c r="A344">
        <v>1</v>
      </c>
      <c r="B344">
        <v>2.23</v>
      </c>
      <c r="C344">
        <v>2.17</v>
      </c>
      <c r="D344" t="s">
        <v>283</v>
      </c>
    </row>
    <row r="345" spans="1:4" x14ac:dyDescent="0.3">
      <c r="A345">
        <v>1</v>
      </c>
      <c r="B345">
        <v>2.23</v>
      </c>
      <c r="C345">
        <v>2.17</v>
      </c>
      <c r="D345" t="s">
        <v>283</v>
      </c>
    </row>
    <row r="346" spans="1:4" x14ac:dyDescent="0.3">
      <c r="A346">
        <v>1</v>
      </c>
      <c r="B346">
        <v>2.23</v>
      </c>
      <c r="C346">
        <v>2.17</v>
      </c>
      <c r="D346" t="s">
        <v>283</v>
      </c>
    </row>
    <row r="347" spans="1:4" x14ac:dyDescent="0.3">
      <c r="A347">
        <v>1</v>
      </c>
      <c r="B347">
        <v>2.23</v>
      </c>
      <c r="C347">
        <v>2.17</v>
      </c>
      <c r="D347" t="s">
        <v>283</v>
      </c>
    </row>
    <row r="348" spans="1:4" x14ac:dyDescent="0.3">
      <c r="A348">
        <v>1</v>
      </c>
      <c r="B348">
        <v>2.23</v>
      </c>
      <c r="C348">
        <v>2.17</v>
      </c>
      <c r="D348" t="s">
        <v>283</v>
      </c>
    </row>
    <row r="349" spans="1:4" x14ac:dyDescent="0.3">
      <c r="A349">
        <v>1</v>
      </c>
      <c r="B349">
        <v>2.23</v>
      </c>
      <c r="C349">
        <v>2.17</v>
      </c>
      <c r="D349" t="s">
        <v>283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tabSelected="1"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06" t="s">
        <v>10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</row>
    <row r="2" spans="1:40" x14ac:dyDescent="0.3">
      <c r="A2" s="205" t="s">
        <v>11</v>
      </c>
      <c r="B2" s="205"/>
      <c r="C2" s="205"/>
      <c r="D2" s="207" t="s">
        <v>4</v>
      </c>
      <c r="E2" s="207"/>
      <c r="G2" s="204" t="s">
        <v>225</v>
      </c>
      <c r="H2" s="204"/>
      <c r="I2" s="204"/>
      <c r="J2" s="204"/>
      <c r="K2" s="135">
        <v>0.29899999999999999</v>
      </c>
    </row>
    <row r="3" spans="1:40" x14ac:dyDescent="0.3">
      <c r="A3" s="205" t="s">
        <v>128</v>
      </c>
      <c r="B3" s="205"/>
      <c r="C3" s="205"/>
      <c r="D3" s="207" t="s">
        <v>131</v>
      </c>
      <c r="E3" s="207"/>
      <c r="G3" s="204" t="s">
        <v>223</v>
      </c>
      <c r="H3" s="204"/>
      <c r="I3" s="204"/>
      <c r="J3" s="204"/>
      <c r="K3" s="135">
        <v>50</v>
      </c>
    </row>
    <row r="4" spans="1:40" x14ac:dyDescent="0.3">
      <c r="A4" s="205" t="s">
        <v>27</v>
      </c>
      <c r="B4" s="205"/>
      <c r="C4" s="205"/>
      <c r="D4" s="192">
        <v>26</v>
      </c>
      <c r="E4" s="192"/>
      <c r="G4" s="204" t="s">
        <v>221</v>
      </c>
      <c r="H4" s="204"/>
      <c r="I4" s="204"/>
      <c r="J4" s="204"/>
      <c r="K4" s="135">
        <v>10</v>
      </c>
    </row>
    <row r="5" spans="1:40" x14ac:dyDescent="0.3">
      <c r="A5" s="205" t="s">
        <v>111</v>
      </c>
      <c r="B5" s="205"/>
      <c r="C5" s="205"/>
      <c r="D5" s="192">
        <v>0.5</v>
      </c>
      <c r="E5" s="192"/>
      <c r="G5" s="204" t="s">
        <v>224</v>
      </c>
      <c r="H5" s="204"/>
      <c r="I5" s="204"/>
      <c r="J5" s="204"/>
      <c r="K5" s="135">
        <v>30</v>
      </c>
    </row>
    <row r="6" spans="1:40" x14ac:dyDescent="0.3">
      <c r="A6" s="191" t="s">
        <v>98</v>
      </c>
      <c r="B6" s="191"/>
      <c r="C6" s="191"/>
      <c r="D6" s="192"/>
      <c r="E6" s="193"/>
      <c r="F6" s="118"/>
    </row>
    <row r="7" spans="1:40" x14ac:dyDescent="0.3">
      <c r="A7" s="191" t="s">
        <v>104</v>
      </c>
      <c r="B7" s="191"/>
      <c r="C7" s="191"/>
      <c r="D7" s="192">
        <f>City_Details!H15</f>
        <v>0.74</v>
      </c>
      <c r="E7" s="192"/>
    </row>
    <row r="8" spans="1:40" x14ac:dyDescent="0.3">
      <c r="A8" s="191" t="s">
        <v>108</v>
      </c>
      <c r="B8" s="191"/>
      <c r="C8" s="191"/>
      <c r="D8" s="192">
        <f>City_Details!H16</f>
        <v>100.8</v>
      </c>
      <c r="E8" s="192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193" t="s">
        <v>34</v>
      </c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5"/>
      <c r="X12" s="201" t="s">
        <v>34</v>
      </c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5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193" t="s">
        <v>55</v>
      </c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5"/>
      <c r="X14" s="198" t="s">
        <v>206</v>
      </c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3"/>
      <c r="AK14" s="193"/>
      <c r="AL14" s="193"/>
      <c r="AM14" s="193"/>
      <c r="AN14" s="199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193" t="s">
        <v>62</v>
      </c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5"/>
      <c r="X24" s="198" t="s">
        <v>63</v>
      </c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3"/>
      <c r="AK24" s="193"/>
      <c r="AL24" s="193"/>
      <c r="AM24" s="193"/>
      <c r="AN24" s="199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193" t="s">
        <v>62</v>
      </c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5"/>
      <c r="X29" s="198" t="s">
        <v>63</v>
      </c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3"/>
      <c r="AK29" s="193"/>
      <c r="AL29" s="193"/>
      <c r="AM29" s="193"/>
      <c r="AN29" s="199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186</v>
      </c>
      <c r="E33" s="32" t="s">
        <v>183</v>
      </c>
      <c r="F33" s="32" t="s">
        <v>70</v>
      </c>
      <c r="G33" s="193" t="s">
        <v>79</v>
      </c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5"/>
      <c r="X33" s="198" t="s">
        <v>207</v>
      </c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3"/>
      <c r="AK33" s="193"/>
      <c r="AL33" s="193"/>
      <c r="AM33" s="193"/>
      <c r="AN33" s="199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193" t="s">
        <v>62</v>
      </c>
      <c r="H43" s="194"/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5"/>
      <c r="X43" s="198" t="s">
        <v>208</v>
      </c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3"/>
      <c r="AK43" s="193"/>
      <c r="AL43" s="193"/>
      <c r="AM43" s="193"/>
      <c r="AN43" s="199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193" t="s">
        <v>107</v>
      </c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5"/>
      <c r="X47" s="198" t="s">
        <v>112</v>
      </c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3"/>
      <c r="AK47" s="193"/>
      <c r="AL47" s="193"/>
      <c r="AM47" s="193"/>
      <c r="AN47" s="199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>([1]!humidratio(G31,$D$8,3,$D$7,TRUE))-([1]!humidratio($D$4,$D$8,3,$D$5,TRUE))</f>
        <v>#VALUE!</v>
      </c>
      <c r="H48" s="33" t="e">
        <f>([1]!humidratio(H31,$D$8,3,$D$7,TRUE))-([1]!humidratio($D$4,$D$8,3,$D$5,TRUE))</f>
        <v>#VALUE!</v>
      </c>
      <c r="I48" s="33" t="e">
        <f>([1]!humidratio(I31,$D$8,3,$D$7,TRUE))-([1]!humidratio($D$4,$D$8,3,$D$5,TRUE))</f>
        <v>#VALUE!</v>
      </c>
      <c r="J48" s="33" t="e">
        <f>([1]!humidratio(J31,$D$8,3,$D$7,TRUE))-([1]!humidratio($D$4,$D$8,3,$D$5,TRUE))</f>
        <v>#VALUE!</v>
      </c>
      <c r="K48" s="33" t="e">
        <f>([1]!humidratio(K31,$D$8,3,$D$7,TRUE))-([1]!humidratio($D$4,$D$8,3,$D$5,TRUE))</f>
        <v>#VALUE!</v>
      </c>
      <c r="L48" s="33" t="e">
        <f>([1]!humidratio(L31,$D$8,3,$D$7,TRUE))-([1]!humidratio($D$4,$D$8,3,$D$5,TRUE))</f>
        <v>#VALUE!</v>
      </c>
      <c r="M48" s="33" t="e">
        <f>([1]!humidratio(M31,$D$8,3,$D$7,TRUE))-([1]!humidratio($D$4,$D$8,3,$D$5,TRUE))</f>
        <v>#VALUE!</v>
      </c>
      <c r="N48" s="33" t="e">
        <f>([1]!humidratio(N31,$D$8,3,$D$7,TRUE))-([1]!humidratio($D$4,$D$8,3,$D$5,TRUE))</f>
        <v>#VALUE!</v>
      </c>
      <c r="O48" s="33" t="e">
        <f>([1]!humidratio(O31,$D$8,3,$D$7,TRUE))-([1]!humidratio($D$4,$D$8,3,$D$5,TRUE))</f>
        <v>#VALUE!</v>
      </c>
      <c r="P48" s="33" t="e">
        <f>([1]!humidratio(P31,$D$8,3,$D$7,TRUE))-([1]!humidratio($D$4,$D$8,3,$D$5,TRUE))</f>
        <v>#VALUE!</v>
      </c>
      <c r="Q48" s="33" t="e">
        <f>([1]!humidratio(Q31,$D$8,3,$D$7,TRUE))-([1]!humidratio($D$4,$D$8,3,$D$5,TRUE))</f>
        <v>#VALUE!</v>
      </c>
      <c r="R48" s="33" t="e">
        <f>([1]!humidratio(R31,$D$8,3,$D$7,TRUE))-([1]!humidratio($D$4,$D$8,3,$D$5,TRUE))</f>
        <v>#VALUE!</v>
      </c>
      <c r="S48" s="33" t="e">
        <f>([1]!humidratio(S31,$D$8,3,$D$7,TRUE))-([1]!humidratio($D$4,$D$8,3,$D$5,TRUE))</f>
        <v>#VALUE!</v>
      </c>
      <c r="T48" s="33" t="e">
        <f>([1]!humidratio(T31,$D$8,3,$D$7,TRUE))-([1]!humidratio($D$4,$D$8,3,$D$5,TRUE))</f>
        <v>#VALUE!</v>
      </c>
      <c r="U48" s="33" t="e">
        <f>([1]!humidratio(U31,$D$8,3,$D$7,TRUE))-([1]!humidratio($D$4,$D$8,3,$D$5,TRUE))</f>
        <v>#VALUE!</v>
      </c>
      <c r="V48" s="33" t="e">
        <f>([1]!humidratio(V31,$D$8,3,$D$7,TRUE))-([1]!humidratio($D$4,$D$8,3,$D$5,TRUE))</f>
        <v>#VALUE!</v>
      </c>
      <c r="W48" s="33" t="e">
        <f>([1]!humidratio(W31,$D$8,3,$D$7,TRUE))-([1]!humidratio($D$4,$D$8,3,$D$5,TRUE))</f>
        <v>#VALUE!</v>
      </c>
      <c r="X48" s="34" t="e">
        <f>IF(0.293071*$E$48*$F$48*G48&gt;=0,0.293071*$E$48*$F$48*G48,-1*(0.293071*$E$48*$F$48*G48))</f>
        <v>#VALUE!</v>
      </c>
      <c r="Y48" s="103" t="e">
        <f t="shared" ref="Y48:AN48" si="43">IF(0.293071*$E$48*$F$48*H48&gt;=0,0.293071*$E$48*$F$48*H48,-1*(0.293071*$E$48*$F$48*H48))</f>
        <v>#VALUE!</v>
      </c>
      <c r="Z48" s="103" t="e">
        <f t="shared" si="43"/>
        <v>#VALUE!</v>
      </c>
      <c r="AA48" s="103" t="e">
        <f t="shared" si="43"/>
        <v>#VALUE!</v>
      </c>
      <c r="AB48" s="103" t="e">
        <f t="shared" si="43"/>
        <v>#VALUE!</v>
      </c>
      <c r="AC48" s="103" t="e">
        <f t="shared" si="43"/>
        <v>#VALUE!</v>
      </c>
      <c r="AD48" s="103" t="e">
        <f t="shared" si="43"/>
        <v>#VALUE!</v>
      </c>
      <c r="AE48" s="103" t="e">
        <f t="shared" si="43"/>
        <v>#VALUE!</v>
      </c>
      <c r="AF48" s="103" t="e">
        <f t="shared" si="43"/>
        <v>#VALUE!</v>
      </c>
      <c r="AG48" s="103" t="e">
        <f t="shared" si="43"/>
        <v>#VALUE!</v>
      </c>
      <c r="AH48" s="103" t="e">
        <f t="shared" si="43"/>
        <v>#VALUE!</v>
      </c>
      <c r="AI48" s="103" t="e">
        <f t="shared" si="43"/>
        <v>#VALUE!</v>
      </c>
      <c r="AJ48" s="103" t="e">
        <f t="shared" si="43"/>
        <v>#VALUE!</v>
      </c>
      <c r="AK48" s="103" t="e">
        <f t="shared" si="43"/>
        <v>#VALUE!</v>
      </c>
      <c r="AL48" s="103" t="e">
        <f t="shared" si="43"/>
        <v>#VALUE!</v>
      </c>
      <c r="AM48" s="103" t="e">
        <f t="shared" si="43"/>
        <v>#VALUE!</v>
      </c>
      <c r="AN48" s="103" t="e">
        <f t="shared" si="43"/>
        <v>#VALUE!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193" t="s">
        <v>79</v>
      </c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5"/>
      <c r="X52" s="198" t="s">
        <v>114</v>
      </c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3"/>
      <c r="AK52" s="193"/>
      <c r="AL52" s="193"/>
      <c r="AM52" s="193"/>
      <c r="AN52" s="199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193" t="s">
        <v>79</v>
      </c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5"/>
      <c r="X54" s="198" t="s">
        <v>85</v>
      </c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3"/>
      <c r="AK54" s="193"/>
      <c r="AL54" s="193"/>
      <c r="AM54" s="193"/>
      <c r="AN54" s="199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0" t="s">
        <v>115</v>
      </c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3"/>
      <c r="AK57" s="193"/>
      <c r="AL57" s="193"/>
      <c r="AM57" s="193"/>
      <c r="AN57" s="199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>X48</f>
        <v>#VALUE!</v>
      </c>
      <c r="Y66" s="52" t="e">
        <f t="shared" ref="Y66:AN66" si="50">Y48</f>
        <v>#VALUE!</v>
      </c>
      <c r="Z66" s="52" t="e">
        <f t="shared" si="50"/>
        <v>#VALUE!</v>
      </c>
      <c r="AA66" s="52" t="e">
        <f t="shared" si="50"/>
        <v>#VALUE!</v>
      </c>
      <c r="AB66" s="52" t="e">
        <f t="shared" si="50"/>
        <v>#VALUE!</v>
      </c>
      <c r="AC66" s="52" t="e">
        <f t="shared" si="50"/>
        <v>#VALUE!</v>
      </c>
      <c r="AD66" s="52" t="e">
        <f t="shared" si="50"/>
        <v>#VALUE!</v>
      </c>
      <c r="AE66" s="52" t="e">
        <f t="shared" si="50"/>
        <v>#VALUE!</v>
      </c>
      <c r="AF66" s="52" t="e">
        <f t="shared" si="50"/>
        <v>#VALUE!</v>
      </c>
      <c r="AG66" s="52" t="e">
        <f t="shared" si="50"/>
        <v>#VALUE!</v>
      </c>
      <c r="AH66" s="52" t="e">
        <f t="shared" si="50"/>
        <v>#VALUE!</v>
      </c>
      <c r="AI66" s="52" t="e">
        <f t="shared" si="50"/>
        <v>#VALUE!</v>
      </c>
      <c r="AJ66" s="52" t="e">
        <f t="shared" si="50"/>
        <v>#VALUE!</v>
      </c>
      <c r="AK66" s="52" t="e">
        <f t="shared" si="50"/>
        <v>#VALUE!</v>
      </c>
      <c r="AL66" s="52" t="e">
        <f t="shared" si="50"/>
        <v>#VALUE!</v>
      </c>
      <c r="AM66" s="52" t="e">
        <f t="shared" si="50"/>
        <v>#VALUE!</v>
      </c>
      <c r="AN66" s="129" t="e">
        <f t="shared" si="50"/>
        <v>#VALUE!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>X66+X68</f>
        <v>#VALUE!</v>
      </c>
      <c r="Y70" s="52" t="e">
        <f t="shared" ref="Y70:AN70" si="52">Y66+Y68</f>
        <v>#VALUE!</v>
      </c>
      <c r="Z70" s="52" t="e">
        <f t="shared" si="52"/>
        <v>#VALUE!</v>
      </c>
      <c r="AA70" s="52" t="e">
        <f t="shared" si="52"/>
        <v>#VALUE!</v>
      </c>
      <c r="AB70" s="52" t="e">
        <f t="shared" si="52"/>
        <v>#VALUE!</v>
      </c>
      <c r="AC70" s="52" t="e">
        <f t="shared" si="52"/>
        <v>#VALUE!</v>
      </c>
      <c r="AD70" s="52" t="e">
        <f t="shared" si="52"/>
        <v>#VALUE!</v>
      </c>
      <c r="AE70" s="52" t="e">
        <f t="shared" si="52"/>
        <v>#VALUE!</v>
      </c>
      <c r="AF70" s="52" t="e">
        <f t="shared" si="52"/>
        <v>#VALUE!</v>
      </c>
      <c r="AG70" s="52" t="e">
        <f t="shared" si="52"/>
        <v>#VALUE!</v>
      </c>
      <c r="AH70" s="52" t="e">
        <f t="shared" si="52"/>
        <v>#VALUE!</v>
      </c>
      <c r="AI70" s="52" t="e">
        <f t="shared" si="52"/>
        <v>#VALUE!</v>
      </c>
      <c r="AJ70" s="52" t="e">
        <f t="shared" si="52"/>
        <v>#VALUE!</v>
      </c>
      <c r="AK70" s="52" t="e">
        <f t="shared" si="52"/>
        <v>#VALUE!</v>
      </c>
      <c r="AL70" s="52" t="e">
        <f t="shared" si="52"/>
        <v>#VALUE!</v>
      </c>
      <c r="AM70" s="52" t="e">
        <f t="shared" si="52"/>
        <v>#VALUE!</v>
      </c>
      <c r="AN70" s="129" t="e">
        <f t="shared" si="52"/>
        <v>#VALUE!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>X64+X70</f>
        <v>#N/A</v>
      </c>
      <c r="Y72" s="52" t="e">
        <f t="shared" ref="Y72:AN72" si="53">Y64+Y70</f>
        <v>#N/A</v>
      </c>
      <c r="Z72" s="52" t="e">
        <f t="shared" si="53"/>
        <v>#N/A</v>
      </c>
      <c r="AA72" s="52" t="e">
        <f t="shared" si="53"/>
        <v>#N/A</v>
      </c>
      <c r="AB72" s="52" t="e">
        <f t="shared" si="53"/>
        <v>#N/A</v>
      </c>
      <c r="AC72" s="52" t="e">
        <f t="shared" si="53"/>
        <v>#N/A</v>
      </c>
      <c r="AD72" s="52" t="e">
        <f t="shared" si="53"/>
        <v>#N/A</v>
      </c>
      <c r="AE72" s="52" t="e">
        <f t="shared" si="53"/>
        <v>#N/A</v>
      </c>
      <c r="AF72" s="52" t="e">
        <f t="shared" si="53"/>
        <v>#N/A</v>
      </c>
      <c r="AG72" s="52" t="e">
        <f t="shared" si="53"/>
        <v>#N/A</v>
      </c>
      <c r="AH72" s="52" t="e">
        <f t="shared" si="53"/>
        <v>#N/A</v>
      </c>
      <c r="AI72" s="52" t="e">
        <f t="shared" si="53"/>
        <v>#N/A</v>
      </c>
      <c r="AJ72" s="52" t="e">
        <f t="shared" si="53"/>
        <v>#N/A</v>
      </c>
      <c r="AK72" s="52" t="e">
        <f t="shared" si="53"/>
        <v>#N/A</v>
      </c>
      <c r="AL72" s="52" t="e">
        <f t="shared" si="53"/>
        <v>#N/A</v>
      </c>
      <c r="AM72" s="52" t="e">
        <f t="shared" si="53"/>
        <v>#N/A</v>
      </c>
      <c r="AN72" s="129" t="e">
        <f t="shared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>X64/X72</f>
        <v>#N/A</v>
      </c>
      <c r="Y74" s="52" t="e">
        <f t="shared" ref="Y74:AN74" si="54">Y64/Y72</f>
        <v>#N/A</v>
      </c>
      <c r="Z74" s="52" t="e">
        <f t="shared" si="54"/>
        <v>#N/A</v>
      </c>
      <c r="AA74" s="52" t="e">
        <f t="shared" si="54"/>
        <v>#N/A</v>
      </c>
      <c r="AB74" s="52" t="e">
        <f t="shared" si="54"/>
        <v>#N/A</v>
      </c>
      <c r="AC74" s="52" t="e">
        <f t="shared" si="54"/>
        <v>#N/A</v>
      </c>
      <c r="AD74" s="52" t="e">
        <f t="shared" si="54"/>
        <v>#N/A</v>
      </c>
      <c r="AE74" s="52" t="e">
        <f t="shared" si="54"/>
        <v>#N/A</v>
      </c>
      <c r="AF74" s="52" t="e">
        <f t="shared" si="54"/>
        <v>#N/A</v>
      </c>
      <c r="AG74" s="52" t="e">
        <f t="shared" si="54"/>
        <v>#N/A</v>
      </c>
      <c r="AH74" s="52" t="e">
        <f t="shared" si="54"/>
        <v>#N/A</v>
      </c>
      <c r="AI74" s="52" t="e">
        <f t="shared" si="54"/>
        <v>#N/A</v>
      </c>
      <c r="AJ74" s="52" t="e">
        <f t="shared" si="54"/>
        <v>#N/A</v>
      </c>
      <c r="AK74" s="52" t="e">
        <f t="shared" si="54"/>
        <v>#N/A</v>
      </c>
      <c r="AL74" s="52" t="e">
        <f t="shared" si="54"/>
        <v>#N/A</v>
      </c>
      <c r="AM74" s="52" t="e">
        <f t="shared" si="54"/>
        <v>#N/A</v>
      </c>
      <c r="AN74" s="129" t="e">
        <f t="shared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209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>IF(X72&gt;0,X72,0)</f>
        <v>#N/A</v>
      </c>
      <c r="Y76" s="131" t="e">
        <f t="shared" ref="Y76:AN76" si="55">IF(Y72&gt;0,Y72,0)</f>
        <v>#N/A</v>
      </c>
      <c r="Z76" s="131" t="e">
        <f t="shared" si="55"/>
        <v>#N/A</v>
      </c>
      <c r="AA76" s="131" t="e">
        <f t="shared" si="55"/>
        <v>#N/A</v>
      </c>
      <c r="AB76" s="131" t="e">
        <f t="shared" si="55"/>
        <v>#N/A</v>
      </c>
      <c r="AC76" s="131" t="e">
        <f t="shared" si="55"/>
        <v>#N/A</v>
      </c>
      <c r="AD76" s="131" t="e">
        <f t="shared" si="55"/>
        <v>#N/A</v>
      </c>
      <c r="AE76" s="131" t="e">
        <f t="shared" si="55"/>
        <v>#N/A</v>
      </c>
      <c r="AF76" s="131" t="e">
        <f t="shared" si="55"/>
        <v>#N/A</v>
      </c>
      <c r="AG76" s="131" t="e">
        <f t="shared" si="55"/>
        <v>#N/A</v>
      </c>
      <c r="AH76" s="131" t="e">
        <f t="shared" si="55"/>
        <v>#N/A</v>
      </c>
      <c r="AI76" s="131" t="e">
        <f t="shared" si="55"/>
        <v>#N/A</v>
      </c>
      <c r="AJ76" s="131" t="e">
        <f t="shared" si="55"/>
        <v>#N/A</v>
      </c>
      <c r="AK76" s="131" t="e">
        <f t="shared" si="55"/>
        <v>#N/A</v>
      </c>
      <c r="AL76" s="131" t="e">
        <f t="shared" si="55"/>
        <v>#N/A</v>
      </c>
      <c r="AM76" s="131" t="e">
        <f t="shared" si="55"/>
        <v>#N/A</v>
      </c>
      <c r="AN76" s="81" t="e">
        <f t="shared" si="55"/>
        <v>#N/A</v>
      </c>
    </row>
    <row r="78" spans="1:40" ht="15" thickBot="1" x14ac:dyDescent="0.35"/>
    <row r="79" spans="1:40" x14ac:dyDescent="0.3">
      <c r="B79" s="196" t="s">
        <v>210</v>
      </c>
      <c r="C79" s="208" t="e">
        <f>SUM(X76:AN76)</f>
        <v>#N/A</v>
      </c>
      <c r="D79" s="209"/>
      <c r="E79" s="133" t="s">
        <v>211</v>
      </c>
    </row>
    <row r="80" spans="1:40" x14ac:dyDescent="0.3">
      <c r="B80" s="197"/>
      <c r="C80" s="210" t="e">
        <f>C79/1000</f>
        <v>#N/A</v>
      </c>
      <c r="D80" s="210"/>
      <c r="E80" s="136" t="s">
        <v>212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222</v>
      </c>
      <c r="C81" s="202" t="e">
        <f>MAX(X76:AN76)/1000</f>
        <v>#N/A</v>
      </c>
      <c r="D81" s="203"/>
      <c r="E81" s="137" t="s">
        <v>212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  <mergeCell ref="X12:AN12"/>
    <mergeCell ref="G14:W14"/>
    <mergeCell ref="X14:AN14"/>
    <mergeCell ref="G24:W24"/>
    <mergeCell ref="X24:AN24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A6:C6"/>
    <mergeCell ref="D6:E6"/>
    <mergeCell ref="G54:W54"/>
    <mergeCell ref="G29:W29"/>
    <mergeCell ref="G12:W12"/>
    <mergeCell ref="A7:C7"/>
    <mergeCell ref="D7:E7"/>
    <mergeCell ref="A8:C8"/>
    <mergeCell ref="D8:E8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topLeftCell="X1" workbookViewId="0">
      <selection activeCell="AG5" sqref="AG5"/>
    </sheetView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213</v>
      </c>
      <c r="F1" s="90" t="s">
        <v>214</v>
      </c>
      <c r="G1" s="90" t="s">
        <v>138</v>
      </c>
      <c r="J1" s="90" t="s">
        <v>145</v>
      </c>
      <c r="K1" s="90" t="s">
        <v>146</v>
      </c>
      <c r="L1" s="90" t="s">
        <v>205</v>
      </c>
      <c r="M1" s="90" t="s">
        <v>213</v>
      </c>
      <c r="N1" s="90" t="s">
        <v>214</v>
      </c>
      <c r="O1" s="90" t="s">
        <v>138</v>
      </c>
      <c r="R1" s="90" t="s">
        <v>149</v>
      </c>
      <c r="S1" s="90" t="s">
        <v>205</v>
      </c>
      <c r="T1" s="90" t="s">
        <v>213</v>
      </c>
      <c r="U1" s="90" t="s">
        <v>214</v>
      </c>
      <c r="V1" s="90" t="s">
        <v>138</v>
      </c>
      <c r="Y1" s="90" t="s">
        <v>150</v>
      </c>
      <c r="Z1" s="90" t="s">
        <v>205</v>
      </c>
      <c r="AA1" s="90" t="s">
        <v>213</v>
      </c>
      <c r="AB1" s="90" t="s">
        <v>214</v>
      </c>
      <c r="AC1" s="90" t="s">
        <v>138</v>
      </c>
      <c r="AF1" s="90" t="s">
        <v>153</v>
      </c>
      <c r="AG1" s="90" t="s">
        <v>137</v>
      </c>
      <c r="AH1" s="90" t="s">
        <v>213</v>
      </c>
      <c r="AI1" s="90" t="s">
        <v>214</v>
      </c>
      <c r="AJ1" s="90" t="s">
        <v>138</v>
      </c>
      <c r="AK1" s="90" t="s">
        <v>156</v>
      </c>
      <c r="AL1" s="90" t="s">
        <v>157</v>
      </c>
      <c r="AM1" s="90" t="s">
        <v>158</v>
      </c>
      <c r="AN1" s="90" t="s">
        <v>159</v>
      </c>
      <c r="AO1" s="90" t="s">
        <v>160</v>
      </c>
      <c r="AP1" s="90" t="s">
        <v>161</v>
      </c>
      <c r="AQ1" s="90" t="s">
        <v>162</v>
      </c>
      <c r="AR1" s="90" t="s">
        <v>163</v>
      </c>
      <c r="AS1" s="90" t="s">
        <v>164</v>
      </c>
      <c r="AT1" s="90" t="s">
        <v>165</v>
      </c>
      <c r="AU1" s="90" t="s">
        <v>166</v>
      </c>
      <c r="AV1" s="90" t="s">
        <v>167</v>
      </c>
      <c r="AW1" s="90" t="s">
        <v>168</v>
      </c>
      <c r="AX1" s="90" t="s">
        <v>169</v>
      </c>
      <c r="AY1" s="90" t="s">
        <v>170</v>
      </c>
      <c r="AZ1" s="90" t="s">
        <v>171</v>
      </c>
      <c r="BA1" s="90" t="s">
        <v>172</v>
      </c>
      <c r="BD1" s="90" t="s">
        <v>215</v>
      </c>
      <c r="BE1" s="90" t="s">
        <v>216</v>
      </c>
      <c r="BF1" s="90" t="s">
        <v>217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147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151</v>
      </c>
      <c r="S2" s="90">
        <v>0.1</v>
      </c>
      <c r="T2" s="90">
        <v>2</v>
      </c>
      <c r="U2" s="90">
        <v>1.5</v>
      </c>
      <c r="V2" s="90">
        <v>250</v>
      </c>
      <c r="Y2" s="90" t="s">
        <v>152</v>
      </c>
      <c r="Z2" s="90">
        <v>0.1</v>
      </c>
      <c r="AA2" s="90">
        <v>2</v>
      </c>
      <c r="AB2" s="90">
        <v>1.4</v>
      </c>
      <c r="AC2" s="90">
        <v>350</v>
      </c>
      <c r="AF2" s="90" t="s">
        <v>154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219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148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284</v>
      </c>
      <c r="S3" s="90">
        <v>3.7021000000000002</v>
      </c>
      <c r="T3" s="90">
        <v>2</v>
      </c>
      <c r="U3" s="90">
        <v>1</v>
      </c>
      <c r="V3" s="90">
        <v>500</v>
      </c>
      <c r="Y3" s="90" t="s">
        <v>284</v>
      </c>
      <c r="Z3" s="90">
        <v>2.9582000000000002</v>
      </c>
      <c r="AA3" s="90">
        <v>3</v>
      </c>
      <c r="AB3" s="90">
        <v>2</v>
      </c>
      <c r="AC3" s="90">
        <v>456</v>
      </c>
      <c r="AF3" s="90" t="s">
        <v>155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220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143</v>
      </c>
      <c r="D4" s="90">
        <v>0.2</v>
      </c>
      <c r="E4" s="90">
        <v>3</v>
      </c>
      <c r="F4" s="90">
        <v>0.1</v>
      </c>
      <c r="G4" s="90">
        <v>125</v>
      </c>
      <c r="J4" s="90" t="s">
        <v>284</v>
      </c>
      <c r="K4" s="90">
        <v>0.78</v>
      </c>
      <c r="L4" s="90">
        <v>2.9214000000000002</v>
      </c>
      <c r="M4" s="90">
        <v>3</v>
      </c>
      <c r="N4" s="90">
        <v>1</v>
      </c>
      <c r="O4" s="90">
        <v>500</v>
      </c>
      <c r="AF4" s="90" t="s">
        <v>284</v>
      </c>
      <c r="AG4" s="90">
        <v>0.22450000000000001</v>
      </c>
      <c r="AH4" s="90">
        <v>5</v>
      </c>
      <c r="AI4" s="90">
        <v>2</v>
      </c>
      <c r="AJ4" s="90">
        <v>140</v>
      </c>
      <c r="AK4" s="90">
        <v>-3</v>
      </c>
      <c r="AL4" s="90">
        <v>-3</v>
      </c>
      <c r="AM4" s="90">
        <v>1</v>
      </c>
      <c r="AN4" s="90">
        <v>9</v>
      </c>
      <c r="AO4" s="90">
        <v>20</v>
      </c>
      <c r="AP4" s="90">
        <v>32</v>
      </c>
      <c r="AQ4" s="90">
        <v>44</v>
      </c>
      <c r="AR4" s="90">
        <v>55</v>
      </c>
      <c r="AS4" s="90">
        <v>64</v>
      </c>
      <c r="AT4" s="90">
        <v>70</v>
      </c>
      <c r="AU4" s="90">
        <v>73</v>
      </c>
      <c r="AV4" s="90">
        <v>71</v>
      </c>
      <c r="AW4" s="90">
        <v>66</v>
      </c>
      <c r="AX4" s="90">
        <v>57</v>
      </c>
      <c r="AY4" s="90">
        <v>45</v>
      </c>
      <c r="AZ4" s="90">
        <v>34</v>
      </c>
      <c r="BA4" s="90">
        <v>25</v>
      </c>
      <c r="BD4" s="90" t="s">
        <v>218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144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284</v>
      </c>
      <c r="B6" s="90">
        <v>0.14280000000000001</v>
      </c>
      <c r="C6" s="90" t="s">
        <v>31</v>
      </c>
      <c r="D6" s="90">
        <v>0.15</v>
      </c>
      <c r="E6" s="90">
        <v>1.5</v>
      </c>
      <c r="F6" s="90">
        <v>0.2</v>
      </c>
      <c r="G6" s="90">
        <v>160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1" t="s">
        <v>26</v>
      </c>
      <c r="AK1" s="211"/>
      <c r="AL1" s="211"/>
      <c r="AO1" t="s">
        <v>28</v>
      </c>
    </row>
    <row r="2" spans="1:63" ht="15" thickBot="1" x14ac:dyDescent="0.35">
      <c r="A2" s="16" t="s">
        <v>8</v>
      </c>
      <c r="D2" s="85" t="s">
        <v>173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1" t="s">
        <v>26</v>
      </c>
      <c r="AK15" s="211"/>
      <c r="AL15" s="21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1" t="s">
        <v>26</v>
      </c>
      <c r="AK29" s="211"/>
      <c r="AL29" s="21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173</v>
      </c>
      <c r="B1" s="105"/>
      <c r="D1" s="212" t="s">
        <v>79</v>
      </c>
      <c r="F1" s="91" t="s">
        <v>174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2" t="s">
        <v>182</v>
      </c>
      <c r="AB1" s="91" t="s">
        <v>174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3"/>
      <c r="F3" s="94" t="s">
        <v>176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3"/>
      <c r="AB3" s="94" t="s">
        <v>176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3"/>
      <c r="F4" s="94" t="s">
        <v>175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3"/>
      <c r="AB4" s="94" t="s">
        <v>175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3"/>
      <c r="F5" s="94" t="s">
        <v>177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3"/>
      <c r="AB5" s="94" t="s">
        <v>177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3"/>
      <c r="F6" s="94" t="s">
        <v>181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3"/>
      <c r="AB6" s="94" t="s">
        <v>181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3"/>
      <c r="F7" s="94" t="s">
        <v>178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3"/>
      <c r="AB7" s="94" t="s">
        <v>178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3"/>
      <c r="F8" s="94" t="s">
        <v>179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3"/>
      <c r="AB8" s="94" t="s">
        <v>179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4"/>
      <c r="F9" s="97" t="s">
        <v>180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4"/>
      <c r="AB9" s="97" t="s">
        <v>180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5" t="s">
        <v>184</v>
      </c>
      <c r="F13" s="91" t="s">
        <v>174</v>
      </c>
      <c r="G13" s="93" t="s">
        <v>185</v>
      </c>
    </row>
    <row r="14" spans="1:40" x14ac:dyDescent="0.3">
      <c r="D14" s="216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6"/>
      <c r="F15" s="94" t="s">
        <v>176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6"/>
      <c r="F16" s="94" t="s">
        <v>175</v>
      </c>
      <c r="G16" s="96" t="e">
        <f t="shared" si="0"/>
        <v>#N/A</v>
      </c>
    </row>
    <row r="17" spans="4:7" x14ac:dyDescent="0.3">
      <c r="D17" s="216"/>
      <c r="F17" s="94" t="s">
        <v>177</v>
      </c>
      <c r="G17" s="96" t="e">
        <f t="shared" si="0"/>
        <v>#N/A</v>
      </c>
    </row>
    <row r="18" spans="4:7" x14ac:dyDescent="0.3">
      <c r="D18" s="216"/>
      <c r="F18" s="94" t="s">
        <v>181</v>
      </c>
      <c r="G18" s="96" t="e">
        <f t="shared" si="0"/>
        <v>#N/A</v>
      </c>
    </row>
    <row r="19" spans="4:7" x14ac:dyDescent="0.3">
      <c r="D19" s="216"/>
      <c r="F19" s="94" t="s">
        <v>178</v>
      </c>
      <c r="G19" s="96" t="e">
        <f t="shared" si="0"/>
        <v>#N/A</v>
      </c>
    </row>
    <row r="20" spans="4:7" x14ac:dyDescent="0.3">
      <c r="D20" s="216"/>
      <c r="F20" s="94" t="s">
        <v>179</v>
      </c>
      <c r="G20" s="96" t="e">
        <f t="shared" si="0"/>
        <v>#N/A</v>
      </c>
    </row>
    <row r="21" spans="4:7" ht="15" thickBot="1" x14ac:dyDescent="0.35">
      <c r="D21" s="217"/>
      <c r="F21" s="97" t="s">
        <v>180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5" t="s">
        <v>194</v>
      </c>
      <c r="I1" s="91" t="s">
        <v>174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5" t="s">
        <v>189</v>
      </c>
      <c r="AE1" s="91" t="s">
        <v>174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6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173</v>
      </c>
      <c r="D3" s="110"/>
      <c r="G3" s="216"/>
      <c r="I3" s="94" t="s">
        <v>176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6"/>
      <c r="AE3" s="94" t="s">
        <v>176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193</v>
      </c>
      <c r="D4" s="106"/>
      <c r="G4" s="216"/>
      <c r="I4" s="94" t="s">
        <v>175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6"/>
      <c r="AE4" s="94" t="s">
        <v>175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6"/>
      <c r="I5" s="94" t="s">
        <v>177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6"/>
      <c r="AE5" s="94" t="s">
        <v>177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6"/>
      <c r="I6" s="94" t="s">
        <v>181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6"/>
      <c r="AE6" s="94" t="s">
        <v>181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6"/>
      <c r="I7" s="94" t="s">
        <v>178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6"/>
      <c r="AE7" s="94" t="s">
        <v>178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6"/>
      <c r="I8" s="94" t="s">
        <v>179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6"/>
      <c r="AE8" s="94" t="s">
        <v>179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7"/>
      <c r="I9" s="97" t="s">
        <v>180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7"/>
      <c r="AE9" s="97" t="s">
        <v>180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5" t="s">
        <v>203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5" t="s">
        <v>195</v>
      </c>
      <c r="AE12" s="91" t="s">
        <v>174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6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6"/>
      <c r="AE13" s="122"/>
      <c r="AF13" s="221" t="s">
        <v>196</v>
      </c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x14ac:dyDescent="0.3">
      <c r="G14" s="216"/>
      <c r="I14" s="94" t="s">
        <v>176</v>
      </c>
      <c r="J14" s="124" t="e">
        <f t="shared" si="18"/>
        <v>#N/A</v>
      </c>
      <c r="AC14" s="21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6"/>
      <c r="I15" s="94" t="s">
        <v>175</v>
      </c>
      <c r="J15" s="124" t="e">
        <f t="shared" si="18"/>
        <v>#N/A</v>
      </c>
      <c r="AC15" s="216"/>
      <c r="AE15" s="94" t="s">
        <v>176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6"/>
      <c r="I16" s="94" t="s">
        <v>177</v>
      </c>
      <c r="J16" s="124" t="e">
        <f t="shared" si="18"/>
        <v>#N/A</v>
      </c>
      <c r="AC16" s="216"/>
      <c r="AE16" s="94" t="s">
        <v>175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6"/>
      <c r="I17" s="94" t="s">
        <v>181</v>
      </c>
      <c r="J17" s="124" t="e">
        <f t="shared" si="18"/>
        <v>#N/A</v>
      </c>
      <c r="AC17" s="216"/>
      <c r="AE17" s="94" t="s">
        <v>177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6"/>
      <c r="I18" s="94" t="s">
        <v>178</v>
      </c>
      <c r="J18" s="124" t="e">
        <f t="shared" si="18"/>
        <v>#N/A</v>
      </c>
      <c r="AC18" s="216"/>
      <c r="AE18" s="94" t="s">
        <v>181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6"/>
      <c r="I19" s="94" t="s">
        <v>179</v>
      </c>
      <c r="J19" s="124" t="e">
        <f t="shared" si="18"/>
        <v>#N/A</v>
      </c>
      <c r="AC19" s="216"/>
      <c r="AE19" s="94" t="s">
        <v>178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7"/>
      <c r="I20" s="97" t="s">
        <v>180</v>
      </c>
      <c r="J20" s="125" t="e">
        <f t="shared" si="18"/>
        <v>#N/A</v>
      </c>
      <c r="AC20" s="216"/>
      <c r="AE20" s="94" t="s">
        <v>179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7"/>
      <c r="AE21" s="97" t="s">
        <v>180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8" t="s">
        <v>197</v>
      </c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20"/>
    </row>
    <row r="23" spans="7:48" x14ac:dyDescent="0.3">
      <c r="G23" s="215" t="s">
        <v>204</v>
      </c>
      <c r="I23" s="91" t="s">
        <v>174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6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176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6"/>
      <c r="I25" s="94" t="s">
        <v>176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175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6"/>
      <c r="I26" s="94" t="s">
        <v>175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177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6"/>
      <c r="I27" s="94" t="s">
        <v>177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181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6"/>
      <c r="I28" s="94" t="s">
        <v>181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178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6"/>
      <c r="I29" s="94" t="s">
        <v>178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179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6"/>
      <c r="I30" s="94" t="s">
        <v>179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180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7"/>
      <c r="I31" s="97" t="s">
        <v>180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8" t="s">
        <v>198</v>
      </c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2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176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175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177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181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178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179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180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8" t="s">
        <v>199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2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176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175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177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181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178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179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180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8" t="s">
        <v>200</v>
      </c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2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176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175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177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181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178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179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180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8" t="s">
        <v>201</v>
      </c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2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176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175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177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181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178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179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180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8" t="s">
        <v>202</v>
      </c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2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176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175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177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181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178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179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180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2" t="s">
        <v>187</v>
      </c>
      <c r="F1" s="91" t="s">
        <v>188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5" t="s">
        <v>189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7"/>
      <c r="AB2" s="97" t="s">
        <v>190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173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2" t="s">
        <v>191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4"/>
      <c r="F5" s="111" t="s">
        <v>190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2" t="s">
        <v>192</v>
      </c>
      <c r="F7" s="91" t="s">
        <v>188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4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34" t="s">
        <v>241</v>
      </c>
      <c r="B1" s="235"/>
      <c r="C1" s="235"/>
      <c r="D1" s="235"/>
      <c r="E1" s="236"/>
      <c r="F1" s="140"/>
      <c r="G1" s="237" t="s">
        <v>226</v>
      </c>
      <c r="H1" s="237" t="s">
        <v>227</v>
      </c>
      <c r="I1" s="237" t="s">
        <v>228</v>
      </c>
      <c r="J1" s="237" t="s">
        <v>229</v>
      </c>
      <c r="K1" s="237" t="s">
        <v>230</v>
      </c>
      <c r="L1" s="237" t="s">
        <v>231</v>
      </c>
      <c r="N1" s="238" t="s">
        <v>232</v>
      </c>
      <c r="O1" s="224" t="s">
        <v>233</v>
      </c>
      <c r="P1" s="226" t="s">
        <v>236</v>
      </c>
    </row>
    <row r="2" spans="1:16" x14ac:dyDescent="0.3">
      <c r="A2" s="141" t="s">
        <v>232</v>
      </c>
      <c r="B2" s="142" t="s">
        <v>233</v>
      </c>
      <c r="C2" s="144" t="s">
        <v>238</v>
      </c>
      <c r="D2" s="144" t="s">
        <v>239</v>
      </c>
      <c r="E2" s="144" t="s">
        <v>240</v>
      </c>
      <c r="F2" s="139"/>
      <c r="G2" s="225"/>
      <c r="H2" s="225"/>
      <c r="I2" s="225"/>
      <c r="J2" s="225"/>
      <c r="K2" s="225"/>
      <c r="L2" s="225"/>
      <c r="N2" s="239"/>
      <c r="O2" s="225"/>
      <c r="P2" s="227"/>
    </row>
    <row r="3" spans="1:16" x14ac:dyDescent="0.3">
      <c r="A3" s="143">
        <v>1</v>
      </c>
      <c r="B3" s="144" t="s">
        <v>238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238</v>
      </c>
      <c r="P3" s="159">
        <f>ROUND(H3,4)</f>
        <v>0.18840000000000001</v>
      </c>
    </row>
    <row r="4" spans="1:16" x14ac:dyDescent="0.3">
      <c r="A4" s="143">
        <v>2</v>
      </c>
      <c r="B4" s="144" t="s">
        <v>239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239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240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240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28" t="s">
        <v>237</v>
      </c>
      <c r="O6" s="229"/>
      <c r="P6" s="160">
        <f>ROUND(SUM(P3:P5),3)</f>
        <v>1</v>
      </c>
    </row>
    <row r="7" spans="1:16" x14ac:dyDescent="0.3">
      <c r="A7" s="230" t="s">
        <v>231</v>
      </c>
      <c r="B7" s="231"/>
      <c r="C7" s="232" t="str">
        <f>L4</f>
        <v>Acceptable</v>
      </c>
      <c r="D7" s="233"/>
      <c r="E7" s="231"/>
      <c r="G7" s="154" t="s">
        <v>234</v>
      </c>
      <c r="H7" s="155" t="s">
        <v>234</v>
      </c>
      <c r="I7" s="156"/>
      <c r="J7" s="157" t="s">
        <v>235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34" t="s">
        <v>242</v>
      </c>
      <c r="B11" s="235"/>
      <c r="C11" s="235"/>
      <c r="D11" s="235"/>
      <c r="E11" s="236"/>
      <c r="F11" s="140"/>
      <c r="G11" s="237" t="s">
        <v>226</v>
      </c>
      <c r="H11" s="237" t="s">
        <v>227</v>
      </c>
      <c r="I11" s="237" t="s">
        <v>228</v>
      </c>
      <c r="J11" s="237" t="s">
        <v>229</v>
      </c>
      <c r="K11" s="237" t="s">
        <v>230</v>
      </c>
      <c r="L11" s="237" t="s">
        <v>231</v>
      </c>
      <c r="N11" s="238" t="s">
        <v>232</v>
      </c>
      <c r="O11" s="224" t="s">
        <v>233</v>
      </c>
      <c r="P11" s="226" t="s">
        <v>236</v>
      </c>
    </row>
    <row r="12" spans="1:16" x14ac:dyDescent="0.3">
      <c r="A12" s="141" t="s">
        <v>232</v>
      </c>
      <c r="B12" s="142" t="s">
        <v>233</v>
      </c>
      <c r="C12" s="144" t="s">
        <v>238</v>
      </c>
      <c r="D12" s="144" t="s">
        <v>239</v>
      </c>
      <c r="E12" s="144" t="s">
        <v>240</v>
      </c>
      <c r="F12" s="139"/>
      <c r="G12" s="225"/>
      <c r="H12" s="225"/>
      <c r="I12" s="225"/>
      <c r="J12" s="225"/>
      <c r="K12" s="225"/>
      <c r="L12" s="225"/>
      <c r="N12" s="239"/>
      <c r="O12" s="225"/>
      <c r="P12" s="227"/>
    </row>
    <row r="13" spans="1:16" x14ac:dyDescent="0.3">
      <c r="A13" s="143">
        <v>1</v>
      </c>
      <c r="B13" s="144" t="s">
        <v>238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238</v>
      </c>
      <c r="P13" s="159">
        <f>ROUND(H13,4)</f>
        <v>0.53959999999999997</v>
      </c>
    </row>
    <row r="14" spans="1:16" x14ac:dyDescent="0.3">
      <c r="A14" s="143">
        <v>2</v>
      </c>
      <c r="B14" s="144" t="s">
        <v>239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239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240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240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28" t="s">
        <v>237</v>
      </c>
      <c r="O16" s="229"/>
      <c r="P16" s="160">
        <f>ROUND(SUM(P13:P15),3)</f>
        <v>1</v>
      </c>
    </row>
    <row r="17" spans="1:17" x14ac:dyDescent="0.3">
      <c r="A17" s="230" t="s">
        <v>231</v>
      </c>
      <c r="B17" s="231"/>
      <c r="C17" s="232" t="str">
        <f>L14</f>
        <v>Acceptable</v>
      </c>
      <c r="D17" s="233"/>
      <c r="E17" s="231"/>
      <c r="G17" s="154" t="s">
        <v>234</v>
      </c>
      <c r="H17" s="155" t="s">
        <v>234</v>
      </c>
      <c r="I17" s="156"/>
      <c r="J17" s="157" t="s">
        <v>235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46" t="s">
        <v>247</v>
      </c>
      <c r="B21" s="247"/>
      <c r="C21" s="247"/>
      <c r="D21" s="247"/>
      <c r="E21" s="247"/>
      <c r="F21" s="248"/>
      <c r="G21" s="162"/>
      <c r="H21" s="249" t="s">
        <v>226</v>
      </c>
      <c r="I21" s="249" t="s">
        <v>227</v>
      </c>
      <c r="J21" s="249" t="s">
        <v>228</v>
      </c>
      <c r="K21" s="249" t="s">
        <v>229</v>
      </c>
      <c r="L21" s="249" t="s">
        <v>230</v>
      </c>
      <c r="M21" s="249" t="s">
        <v>231</v>
      </c>
      <c r="O21" s="244" t="s">
        <v>232</v>
      </c>
      <c r="P21" s="251" t="s">
        <v>233</v>
      </c>
      <c r="Q21" s="252" t="s">
        <v>236</v>
      </c>
    </row>
    <row r="22" spans="1:17" x14ac:dyDescent="0.3">
      <c r="A22" s="163" t="s">
        <v>232</v>
      </c>
      <c r="B22" s="164" t="s">
        <v>233</v>
      </c>
      <c r="C22" s="167" t="s">
        <v>243</v>
      </c>
      <c r="D22" s="167" t="s">
        <v>244</v>
      </c>
      <c r="E22" s="167" t="s">
        <v>245</v>
      </c>
      <c r="F22" s="167" t="s">
        <v>246</v>
      </c>
      <c r="G22" s="165"/>
      <c r="H22" s="250"/>
      <c r="I22" s="250"/>
      <c r="J22" s="250"/>
      <c r="K22" s="250"/>
      <c r="L22" s="250"/>
      <c r="M22" s="250"/>
      <c r="O22" s="245"/>
      <c r="P22" s="250"/>
      <c r="Q22" s="253"/>
    </row>
    <row r="23" spans="1:17" x14ac:dyDescent="0.3">
      <c r="A23" s="166">
        <v>1</v>
      </c>
      <c r="B23" s="167" t="s">
        <v>243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243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244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244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245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245</v>
      </c>
      <c r="Q25" s="182">
        <f t="shared" si="12"/>
        <v>6.13E-2</v>
      </c>
    </row>
    <row r="26" spans="1:17" x14ac:dyDescent="0.3">
      <c r="A26" s="166">
        <v>4</v>
      </c>
      <c r="B26" s="167" t="s">
        <v>246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246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54" t="s">
        <v>237</v>
      </c>
      <c r="P27" s="229"/>
      <c r="Q27" s="183">
        <f>ROUND(SUM(Q23:Q26),3)</f>
        <v>1</v>
      </c>
    </row>
    <row r="28" spans="1:17" x14ac:dyDescent="0.3">
      <c r="A28" s="240" t="s">
        <v>231</v>
      </c>
      <c r="B28" s="241"/>
      <c r="C28" s="242" t="str">
        <f>M24</f>
        <v>Acceptable</v>
      </c>
      <c r="D28" s="243"/>
      <c r="E28" s="243"/>
      <c r="F28" s="241"/>
      <c r="H28" s="177" t="s">
        <v>234</v>
      </c>
      <c r="I28" s="178" t="s">
        <v>234</v>
      </c>
      <c r="J28" s="179"/>
      <c r="K28" s="180" t="s">
        <v>235</v>
      </c>
    </row>
  </sheetData>
  <mergeCells count="39">
    <mergeCell ref="P21:P22"/>
    <mergeCell ref="Q21:Q22"/>
    <mergeCell ref="O27:P27"/>
    <mergeCell ref="L21:L22"/>
    <mergeCell ref="M21:M22"/>
    <mergeCell ref="A28:B28"/>
    <mergeCell ref="C28:F28"/>
    <mergeCell ref="O21:O22"/>
    <mergeCell ref="A21:F21"/>
    <mergeCell ref="H21:H22"/>
    <mergeCell ref="I21:I22"/>
    <mergeCell ref="J21:J22"/>
    <mergeCell ref="K21:K2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7:B7"/>
    <mergeCell ref="C7:E7"/>
    <mergeCell ref="L11:L12"/>
    <mergeCell ref="N1:N2"/>
    <mergeCell ref="N11:N12"/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5" t="s">
        <v>248</v>
      </c>
      <c r="B1" s="256"/>
      <c r="C1" s="256"/>
      <c r="D1" s="257"/>
    </row>
    <row r="2" spans="1:4" x14ac:dyDescent="0.3">
      <c r="A2" s="28" t="s">
        <v>257</v>
      </c>
      <c r="B2" s="184" t="s">
        <v>243</v>
      </c>
      <c r="C2" s="184" t="s">
        <v>249</v>
      </c>
      <c r="D2" s="29" t="s">
        <v>250</v>
      </c>
    </row>
    <row r="3" spans="1:4" x14ac:dyDescent="0.3">
      <c r="A3" s="24" t="s">
        <v>251</v>
      </c>
      <c r="B3" s="56"/>
      <c r="C3" s="56"/>
      <c r="D3" s="25"/>
    </row>
    <row r="4" spans="1:4" x14ac:dyDescent="0.3">
      <c r="A4" s="24" t="s">
        <v>252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253</v>
      </c>
      <c r="B5" s="56"/>
      <c r="C5" s="56"/>
      <c r="D5" s="25"/>
    </row>
    <row r="6" spans="1:4" ht="15" thickBot="1" x14ac:dyDescent="0.35">
      <c r="A6" s="130" t="s">
        <v>254</v>
      </c>
      <c r="B6" s="131"/>
      <c r="C6" s="131"/>
      <c r="D6" s="81"/>
    </row>
    <row r="8" spans="1:4" ht="15" thickBot="1" x14ac:dyDescent="0.35"/>
    <row r="9" spans="1:4" x14ac:dyDescent="0.3">
      <c r="A9" s="255" t="s">
        <v>255</v>
      </c>
      <c r="B9" s="256"/>
      <c r="C9" s="256"/>
      <c r="D9" s="257"/>
    </row>
    <row r="10" spans="1:4" x14ac:dyDescent="0.3">
      <c r="A10" s="28" t="s">
        <v>257</v>
      </c>
      <c r="B10" s="184" t="s">
        <v>243</v>
      </c>
      <c r="C10" s="184" t="s">
        <v>249</v>
      </c>
      <c r="D10" s="29" t="s">
        <v>250</v>
      </c>
    </row>
    <row r="11" spans="1:4" x14ac:dyDescent="0.3">
      <c r="A11" s="24" t="s">
        <v>251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252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253</v>
      </c>
      <c r="B13" s="56"/>
      <c r="C13" s="56"/>
      <c r="D13" s="25"/>
    </row>
    <row r="14" spans="1:4" ht="15" thickBot="1" x14ac:dyDescent="0.35">
      <c r="A14" s="130" t="s">
        <v>254</v>
      </c>
      <c r="B14" s="131"/>
      <c r="C14" s="131"/>
      <c r="D14" s="81"/>
    </row>
    <row r="16" spans="1:4" ht="15" thickBot="1" x14ac:dyDescent="0.35"/>
    <row r="17" spans="1:5" x14ac:dyDescent="0.3">
      <c r="A17" s="255" t="s">
        <v>256</v>
      </c>
      <c r="B17" s="256"/>
      <c r="C17" s="256"/>
      <c r="D17" s="256"/>
      <c r="E17" s="257"/>
    </row>
    <row r="18" spans="1:5" x14ac:dyDescent="0.3">
      <c r="A18" s="28" t="s">
        <v>257</v>
      </c>
      <c r="B18" s="184" t="s">
        <v>243</v>
      </c>
      <c r="C18" s="184" t="s">
        <v>244</v>
      </c>
      <c r="D18" s="184" t="s">
        <v>245</v>
      </c>
      <c r="E18" s="77" t="s">
        <v>258</v>
      </c>
    </row>
    <row r="19" spans="1:5" x14ac:dyDescent="0.3">
      <c r="A19" s="24" t="s">
        <v>251</v>
      </c>
      <c r="B19" s="56">
        <f>B3</f>
        <v>0</v>
      </c>
      <c r="C19" s="56"/>
      <c r="D19" s="56"/>
      <c r="E19" s="25"/>
    </row>
    <row r="20" spans="1:5" x14ac:dyDescent="0.3">
      <c r="A20" s="24" t="s">
        <v>252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253</v>
      </c>
      <c r="B21" s="56"/>
      <c r="C21" s="56"/>
      <c r="D21" s="56"/>
      <c r="E21" s="25"/>
    </row>
    <row r="22" spans="1:5" ht="15" thickBot="1" x14ac:dyDescent="0.35">
      <c r="A22" s="130" t="s">
        <v>254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8" t="s">
        <v>259</v>
      </c>
      <c r="B3" s="259"/>
      <c r="C3" s="259"/>
      <c r="D3" s="25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213</v>
      </c>
      <c r="F4" s="2" t="s">
        <v>214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145</v>
      </c>
      <c r="B6" s="2" t="s">
        <v>146</v>
      </c>
      <c r="C6" s="2" t="s">
        <v>205</v>
      </c>
      <c r="D6" s="2" t="s">
        <v>213</v>
      </c>
      <c r="E6" s="2" t="s">
        <v>214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149</v>
      </c>
      <c r="B8" s="2" t="s">
        <v>205</v>
      </c>
      <c r="C8" s="2" t="s">
        <v>213</v>
      </c>
      <c r="D8" s="2" t="s">
        <v>214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150</v>
      </c>
      <c r="B10" s="2" t="s">
        <v>205</v>
      </c>
      <c r="C10" s="2" t="s">
        <v>213</v>
      </c>
      <c r="D10" s="2" t="s">
        <v>214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153</v>
      </c>
      <c r="B12" s="2" t="s">
        <v>137</v>
      </c>
      <c r="C12" s="2" t="s">
        <v>213</v>
      </c>
      <c r="D12" s="2" t="s">
        <v>214</v>
      </c>
      <c r="E12" s="2" t="s">
        <v>138</v>
      </c>
      <c r="F12" s="2" t="s">
        <v>156</v>
      </c>
      <c r="G12" s="2" t="s">
        <v>157</v>
      </c>
      <c r="H12" s="2" t="s">
        <v>158</v>
      </c>
      <c r="I12" s="2" t="s">
        <v>159</v>
      </c>
      <c r="J12" s="2" t="s">
        <v>160</v>
      </c>
      <c r="K12" s="2" t="s">
        <v>161</v>
      </c>
      <c r="L12" s="2" t="s">
        <v>162</v>
      </c>
      <c r="M12" s="2" t="s">
        <v>163</v>
      </c>
      <c r="N12" s="2" t="s">
        <v>164</v>
      </c>
      <c r="O12" s="2" t="s">
        <v>165</v>
      </c>
      <c r="P12" s="2" t="s">
        <v>166</v>
      </c>
      <c r="Q12" s="2" t="s">
        <v>167</v>
      </c>
      <c r="R12" s="2" t="s">
        <v>168</v>
      </c>
      <c r="S12" s="2" t="s">
        <v>169</v>
      </c>
      <c r="T12" s="2" t="s">
        <v>170</v>
      </c>
      <c r="U12" s="2" t="s">
        <v>171</v>
      </c>
      <c r="V12" s="3" t="s">
        <v>172</v>
      </c>
    </row>
    <row r="13" spans="1:22" x14ac:dyDescent="0.3">
      <c r="A13" s="19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215</v>
      </c>
      <c r="B14" s="2" t="s">
        <v>216</v>
      </c>
      <c r="C14" s="2" t="s">
        <v>217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8" t="s">
        <v>260</v>
      </c>
      <c r="B18" s="259"/>
      <c r="C18" s="259"/>
      <c r="D18" s="25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213</v>
      </c>
      <c r="F19" s="2" t="s">
        <v>214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145</v>
      </c>
      <c r="B21" s="2" t="s">
        <v>146</v>
      </c>
      <c r="C21" s="2" t="s">
        <v>205</v>
      </c>
      <c r="D21" s="2" t="s">
        <v>213</v>
      </c>
      <c r="E21" s="2" t="s">
        <v>214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149</v>
      </c>
      <c r="B23" s="2" t="s">
        <v>205</v>
      </c>
      <c r="C23" s="2" t="s">
        <v>213</v>
      </c>
      <c r="D23" s="2" t="s">
        <v>214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150</v>
      </c>
      <c r="B25" s="2" t="s">
        <v>205</v>
      </c>
      <c r="C25" s="2" t="s">
        <v>213</v>
      </c>
      <c r="D25" s="2" t="s">
        <v>214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153</v>
      </c>
      <c r="B27" s="2" t="s">
        <v>137</v>
      </c>
      <c r="C27" s="2" t="s">
        <v>213</v>
      </c>
      <c r="D27" s="2" t="s">
        <v>214</v>
      </c>
      <c r="E27" s="2" t="s">
        <v>138</v>
      </c>
      <c r="F27" s="2" t="s">
        <v>156</v>
      </c>
      <c r="G27" s="2" t="s">
        <v>157</v>
      </c>
      <c r="H27" s="2" t="s">
        <v>158</v>
      </c>
      <c r="I27" s="2" t="s">
        <v>159</v>
      </c>
      <c r="J27" s="2" t="s">
        <v>160</v>
      </c>
      <c r="K27" s="2" t="s">
        <v>161</v>
      </c>
      <c r="L27" s="2" t="s">
        <v>162</v>
      </c>
      <c r="M27" s="2" t="s">
        <v>163</v>
      </c>
      <c r="N27" s="2" t="s">
        <v>164</v>
      </c>
      <c r="O27" s="2" t="s">
        <v>165</v>
      </c>
      <c r="P27" s="2" t="s">
        <v>166</v>
      </c>
      <c r="Q27" s="2" t="s">
        <v>167</v>
      </c>
      <c r="R27" s="2" t="s">
        <v>168</v>
      </c>
      <c r="S27" s="2" t="s">
        <v>169</v>
      </c>
      <c r="T27" s="2" t="s">
        <v>170</v>
      </c>
      <c r="U27" s="2" t="s">
        <v>171</v>
      </c>
      <c r="V27" s="3" t="s">
        <v>172</v>
      </c>
    </row>
    <row r="28" spans="1:22" x14ac:dyDescent="0.3">
      <c r="A28" s="19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215</v>
      </c>
      <c r="B29" s="2" t="s">
        <v>216</v>
      </c>
      <c r="C29" s="2" t="s">
        <v>217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8" t="s">
        <v>261</v>
      </c>
      <c r="B33" s="259"/>
      <c r="C33" s="259"/>
      <c r="D33" s="25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213</v>
      </c>
      <c r="F34" s="2" t="s">
        <v>214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145</v>
      </c>
      <c r="B36" s="2" t="s">
        <v>146</v>
      </c>
      <c r="C36" s="2" t="s">
        <v>205</v>
      </c>
      <c r="D36" s="2" t="s">
        <v>213</v>
      </c>
      <c r="E36" s="2" t="s">
        <v>214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149</v>
      </c>
      <c r="B38" s="2" t="s">
        <v>205</v>
      </c>
      <c r="C38" s="2" t="s">
        <v>213</v>
      </c>
      <c r="D38" s="2" t="s">
        <v>214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150</v>
      </c>
      <c r="B40" s="2" t="s">
        <v>205</v>
      </c>
      <c r="C40" s="2" t="s">
        <v>213</v>
      </c>
      <c r="D40" s="2" t="s">
        <v>214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153</v>
      </c>
      <c r="B42" s="2" t="s">
        <v>137</v>
      </c>
      <c r="C42" s="2" t="s">
        <v>213</v>
      </c>
      <c r="D42" s="2" t="s">
        <v>214</v>
      </c>
      <c r="E42" s="2" t="s">
        <v>138</v>
      </c>
      <c r="F42" s="2" t="s">
        <v>156</v>
      </c>
      <c r="G42" s="2" t="s">
        <v>157</v>
      </c>
      <c r="H42" s="2" t="s">
        <v>158</v>
      </c>
      <c r="I42" s="2" t="s">
        <v>159</v>
      </c>
      <c r="J42" s="2" t="s">
        <v>160</v>
      </c>
      <c r="K42" s="2" t="s">
        <v>161</v>
      </c>
      <c r="L42" s="2" t="s">
        <v>162</v>
      </c>
      <c r="M42" s="2" t="s">
        <v>163</v>
      </c>
      <c r="N42" s="2" t="s">
        <v>164</v>
      </c>
      <c r="O42" s="2" t="s">
        <v>165</v>
      </c>
      <c r="P42" s="2" t="s">
        <v>166</v>
      </c>
      <c r="Q42" s="2" t="s">
        <v>167</v>
      </c>
      <c r="R42" s="2" t="s">
        <v>168</v>
      </c>
      <c r="S42" s="2" t="s">
        <v>169</v>
      </c>
      <c r="T42" s="2" t="s">
        <v>170</v>
      </c>
      <c r="U42" s="2" t="s">
        <v>171</v>
      </c>
      <c r="V42" s="3" t="s">
        <v>172</v>
      </c>
    </row>
    <row r="43" spans="1:22" x14ac:dyDescent="0.3">
      <c r="A43" s="19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215</v>
      </c>
      <c r="B44" s="2" t="s">
        <v>216</v>
      </c>
      <c r="C44" s="2" t="s">
        <v>217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2022-05-17T09:18:43Z</dcterms:modified>
</cp:coreProperties>
</file>